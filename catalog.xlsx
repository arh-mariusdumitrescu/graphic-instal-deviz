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riu\Desktop\"/>
    </mc:Choice>
  </mc:AlternateContent>
  <bookViews>
    <workbookView xWindow="0" yWindow="0" windowWidth="28800" windowHeight="12435"/>
  </bookViews>
  <sheets>
    <sheet name="Lista Lucrari" sheetId="1" r:id="rId1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3" i="1" l="1"/>
  <c r="F124" i="1"/>
  <c r="F81" i="1"/>
  <c r="F82" i="1"/>
  <c r="F84" i="1"/>
  <c r="F30" i="1"/>
  <c r="F16" i="1"/>
  <c r="F11" i="1"/>
  <c r="F13" i="1" l="1"/>
  <c r="F120" i="1"/>
  <c r="F95" i="1"/>
  <c r="F112" i="1"/>
  <c r="F91" i="1" l="1"/>
  <c r="F90" i="1"/>
  <c r="F89" i="1"/>
  <c r="F87" i="1"/>
  <c r="F104" i="1"/>
  <c r="F103" i="1"/>
  <c r="F102" i="1"/>
  <c r="F153" i="1"/>
  <c r="F151" i="1"/>
  <c r="F177" i="1"/>
  <c r="F176" i="1"/>
  <c r="F172" i="1"/>
  <c r="F114" i="1"/>
  <c r="F115" i="1"/>
  <c r="F9" i="1"/>
  <c r="F5" i="1"/>
  <c r="F36" i="1" l="1"/>
  <c r="F35" i="1"/>
  <c r="F76" i="1"/>
  <c r="F75" i="1"/>
  <c r="F74" i="1"/>
  <c r="F73" i="1"/>
  <c r="F72" i="1"/>
  <c r="F78" i="1"/>
  <c r="F83" i="1"/>
  <c r="F167" i="1"/>
  <c r="F146" i="1"/>
  <c r="F145" i="1"/>
  <c r="F71" i="1"/>
  <c r="F57" i="1"/>
  <c r="F49" i="1"/>
  <c r="F40" i="1"/>
  <c r="F29" i="1"/>
  <c r="F24" i="1"/>
  <c r="F23" i="1"/>
  <c r="F22" i="1"/>
  <c r="F21" i="1"/>
  <c r="F20" i="1"/>
  <c r="F19" i="1"/>
  <c r="F18" i="1"/>
  <c r="F8" i="1"/>
  <c r="F7" i="1"/>
  <c r="F6" i="1"/>
  <c r="F4" i="1"/>
  <c r="F100" i="1"/>
  <c r="F106" i="1"/>
  <c r="F107" i="1"/>
  <c r="F108" i="1"/>
  <c r="F109" i="1"/>
  <c r="F131" i="1"/>
  <c r="F157" i="1" l="1"/>
  <c r="F159" i="1"/>
  <c r="F175" i="1"/>
  <c r="F174" i="1"/>
  <c r="F171" i="1"/>
  <c r="F170" i="1"/>
  <c r="F169" i="1"/>
  <c r="F168" i="1"/>
  <c r="F166" i="1"/>
  <c r="F165" i="1"/>
  <c r="F164" i="1"/>
  <c r="F163" i="1"/>
  <c r="F162" i="1"/>
  <c r="F161" i="1"/>
  <c r="F160" i="1"/>
  <c r="F158" i="1"/>
  <c r="F156" i="1"/>
  <c r="F150" i="1"/>
  <c r="F149" i="1"/>
  <c r="F148" i="1"/>
  <c r="F147" i="1"/>
  <c r="F144" i="1"/>
  <c r="F143" i="1"/>
  <c r="F142" i="1"/>
  <c r="F141" i="1"/>
  <c r="F140" i="1"/>
  <c r="F139" i="1"/>
  <c r="F136" i="1"/>
  <c r="F135" i="1"/>
  <c r="F134" i="1"/>
  <c r="F133" i="1"/>
  <c r="F132" i="1"/>
  <c r="F130" i="1"/>
  <c r="F129" i="1"/>
  <c r="F128" i="1"/>
  <c r="F127" i="1"/>
  <c r="F126" i="1"/>
  <c r="F125" i="1"/>
  <c r="F122" i="1"/>
  <c r="F117" i="1"/>
  <c r="F116" i="1"/>
  <c r="F113" i="1"/>
  <c r="F110" i="1"/>
  <c r="F99" i="1"/>
  <c r="F98" i="1"/>
  <c r="F97" i="1"/>
  <c r="F96" i="1"/>
  <c r="F94" i="1"/>
  <c r="F86" i="1"/>
  <c r="F80" i="1"/>
  <c r="F79" i="1"/>
  <c r="F70" i="1"/>
  <c r="F69" i="1"/>
  <c r="F68" i="1"/>
  <c r="F66" i="1"/>
  <c r="F65" i="1"/>
  <c r="F63" i="1"/>
  <c r="F62" i="1"/>
  <c r="F61" i="1"/>
  <c r="F60" i="1"/>
  <c r="F58" i="1"/>
  <c r="F56" i="1"/>
  <c r="F55" i="1"/>
  <c r="F54" i="1"/>
  <c r="F53" i="1"/>
  <c r="F52" i="1"/>
  <c r="F51" i="1"/>
  <c r="F48" i="1"/>
  <c r="F47" i="1"/>
  <c r="F46" i="1"/>
  <c r="F45" i="1"/>
  <c r="F44" i="1"/>
  <c r="F43" i="1"/>
  <c r="F42" i="1"/>
  <c r="F38" i="1"/>
  <c r="F37" i="1"/>
  <c r="F32" i="1"/>
  <c r="F28" i="1"/>
  <c r="F27" i="1"/>
  <c r="F26" i="1"/>
  <c r="F15" i="1"/>
  <c r="F14" i="1"/>
  <c r="F12" i="1"/>
</calcChain>
</file>

<file path=xl/sharedStrings.xml><?xml version="1.0" encoding="utf-8"?>
<sst xmlns="http://schemas.openxmlformats.org/spreadsheetml/2006/main" count="570" uniqueCount="349">
  <si>
    <t>COD</t>
  </si>
  <si>
    <t>DESCRIERE</t>
  </si>
  <si>
    <t>UM</t>
  </si>
  <si>
    <t>CANTITATE</t>
  </si>
  <si>
    <t>PRET UNITAR  [EUR fara TVA]</t>
  </si>
  <si>
    <t>PRET TOTAL [EUR fara TVA]</t>
  </si>
  <si>
    <t>DEMOLARI SI PREGATIRE</t>
  </si>
  <si>
    <t>Demolare pereti</t>
  </si>
  <si>
    <t>Demolare perete de zidarie (caramida/BCA), cu evacuare moloz</t>
  </si>
  <si>
    <t>mp</t>
  </si>
  <si>
    <t>Demolare perete din gips-carton, cu evacuare</t>
  </si>
  <si>
    <t>Demolare tavane</t>
  </si>
  <si>
    <t>ans</t>
  </si>
  <si>
    <t>Desfacere pardoseli</t>
  </si>
  <si>
    <t>Demontare partitie sticla simpla, inclusiv profile si evacuare</t>
  </si>
  <si>
    <t>buc</t>
  </si>
  <si>
    <t>Decopertare si curatare/slefuire stalp beton</t>
  </si>
  <si>
    <t>ml</t>
  </si>
  <si>
    <t>Evacuare gunoi</t>
  </si>
  <si>
    <t>mc</t>
  </si>
  <si>
    <t>Pereti din zidarie</t>
  </si>
  <si>
    <t>Partitii din sticla</t>
  </si>
  <si>
    <t>Partitie sticla simpla cu film frostat / print pe sticla</t>
  </si>
  <si>
    <t>Usi interioare</t>
  </si>
  <si>
    <t>TAVANE</t>
  </si>
  <si>
    <t>Plafon tensionat (stretch ceiling), alb mat sau glossy</t>
  </si>
  <si>
    <t>Tencuiala decorativa de interior, cu aspect "limewash"</t>
  </si>
  <si>
    <t>Placare perete cu gresie ceramica, inclusiv adeziv si rosturi</t>
  </si>
  <si>
    <t>Placare perete cu marmura / piatra naturala, inclusiv adeziv si finisare</t>
  </si>
  <si>
    <t>Placare perete cu panouri HPL, fixare pe structura metalica</t>
  </si>
  <si>
    <t>Placare perete cu lamele lemn / MDF, finisaj natur sau vopsit</t>
  </si>
  <si>
    <t>Pardoseala gresie portelanata rectificata format mare 60x120+</t>
  </si>
  <si>
    <t>Pardoseala epoxidica autonivelanta, inclusiv grunduire si aplicare</t>
  </si>
  <si>
    <t>Pardoseala din beton slefuit / polizat, inclusiv tratament de suprafata</t>
  </si>
  <si>
    <t>Plinta flexibila</t>
  </si>
  <si>
    <t>Profil trecere intre pardoseli</t>
  </si>
  <si>
    <t>Demolare placare perete din gips-carton, cu evacuare</t>
  </si>
  <si>
    <t>Demolare tavan gips-carton - demontare si evacuare</t>
  </si>
  <si>
    <t>Demolare plafon casetat 60x60cm, doar placi casetate - demontare si evacuare</t>
  </si>
  <si>
    <t>Demolare tavan fals din lamele metalice - demontare si evacuare</t>
  </si>
  <si>
    <t>Demolare plafon casetat 60x60cm, inclusiv structura - demontare si evacuare</t>
  </si>
  <si>
    <t>Desfacere pardoseala LVT/SPC/mocheta montata prin lipire (cu autoadeziv), cu evacuare</t>
  </si>
  <si>
    <t>Desfacere pardoseala LVT/SPC/mocheta montata prin lipire definitiva cu adeziv, cu evacuare</t>
  </si>
  <si>
    <t>Desfacere gresie / faianta montata cu adeziv pe baza de ciment (inclusiv indepartare adeziv vechi de pe suport), cu evacuare</t>
  </si>
  <si>
    <t>Raschetarea si curatarea mecanica a resturilor de adeziv vechi de pe sapa. Aspirare profesionala a suprafetei suport</t>
  </si>
  <si>
    <t>Demontare partitie sticla dubla, inclusiv profile si evacuare</t>
  </si>
  <si>
    <t>Placare cu gips-carton</t>
  </si>
  <si>
    <t>Perete din gips-carton, grosime 7.5cm, structură CW/UW 50, placare simpla pe ambele părți cu plăci standard (GKB), fără vată minerală.</t>
  </si>
  <si>
    <t>Perete din gips-carton, grosime 10cm, structură CW/UW 50, placare dubla pe ambele părți cu plăci standard (GKB), fără vată minerală.</t>
  </si>
  <si>
    <t>Perete din gips-carton, grosime 10cm, structură CW/UW 50, placare dubla pe ambele părți cu plăci standard (GKB), inclusiv vată minerală de 5cm.</t>
  </si>
  <si>
    <t>Perete din gips-carton, grosime 10cm, structură CW/UW 50, placare dubla pe ambele părți cu plăci hidrofuge (GKBI), fără vată minerală.</t>
  </si>
  <si>
    <t>Perete din gips-carton, grosime 10cm, structură CW/UW 50, placare dubla pe ambele părți cu plăci hidrofuge (GKBI), inclusiv vată minerală de 5cm.</t>
  </si>
  <si>
    <t>Perete din gips-carton, grosime 10cm, structură CW/UW 75, placare simpla pe ambele părți cu plăci standard (GKB), fără vată minerală.</t>
  </si>
  <si>
    <t>Perete din gips-carton, grosime 10cm, structură CW/UW 75, placare simpla pe ambele părți cu plăci standard (GKB), inclusiv vată minerală de 5cm.</t>
  </si>
  <si>
    <t>Perete din gips-carton, grosime 10cm, structură CW/UW 75, placare simpla pe ambele părți cu plăci hidrofuge (GKBI), fără vată minerală.</t>
  </si>
  <si>
    <t>Perete din gips-carton, grosime 10cm, structură CW/UW 75, placare simpla pe ambele părți cu plăci hidrofuge (GKBI), inclusiv vată minerală de 5cm.</t>
  </si>
  <si>
    <t>Perete din gips-carton, grosime 12.5cm, structură CW/UW 75, placare dubla pe ambele părți cu plăci standard (GKB), fără vată minerală.</t>
  </si>
  <si>
    <t>Perete din gips-carton, grosime 12.5cm, structură CW/UW 75, placare dubla pe ambele părți cu plăci standard (GKB), inclusiv vată minerală de 5cm.</t>
  </si>
  <si>
    <t>Perete din gips-carton, grosime 12.5cm, structură CW/UW 75, placare dubla pe ambele părți cu plăci hidrofuge (GKBI), fără vată minerală.</t>
  </si>
  <si>
    <t>Perete din gips-carton, grosime 12.5cm, structură CW/UW 75, placare dubla pe ambele părți cu plăci hidrofuge (GKBI), inclusiv vată minerală de 5cm.</t>
  </si>
  <si>
    <t>Perete din gips-carton, grosime 12.5cm, structură CW/UW 100, placare simpla pe ambele părți cu plăci standard (GKB), fără vată minerală.</t>
  </si>
  <si>
    <t>Perete din gips-carton, grosime 12.5cm, structură CW/UW 100, placare simpla pe ambele părți cu plăci standard (GKB), inclusiv vată minerală de 5cm.</t>
  </si>
  <si>
    <t>Perete din gips-carton, grosime 12.5cm, structură CW/UW 100, placare simpla pe ambele părți cu plăci hidrofuge (GKBI), fără vată minerală.</t>
  </si>
  <si>
    <t>Perete din gips-carton, grosime 12.5cm, structură CW/UW 100, placare simpla pe ambele părți cu plăci hidrofuge (GKBI), inclusiv vată minerală de 5cm.</t>
  </si>
  <si>
    <t>Perete din gips-carton, grosime 15cm, structură CW/UW 100, placare dubla pe ambele părți cu plăci standard (GKB), fără vată minerală.</t>
  </si>
  <si>
    <t>Perete din gips-carton, grosime 15cm, structură CW/UW 100, placare dubla pe ambele părți cu plăci standard (GKB), inclusiv vată minerală de 5cm.</t>
  </si>
  <si>
    <t>Perete din gips-carton, grosime 15cm, structură CW/UW 100, placare dubla pe ambele părți cu plăci hidrofuge (GKBI), fără vată minerală.</t>
  </si>
  <si>
    <t>Perete din gips-carton, grosime 15cm, structură CW/UW 100, placare dubla pe ambele părți cu plăci hidrofuge (GKBI), inclusiv vată minerală de 5cm.</t>
  </si>
  <si>
    <t>Perete din gips-carton EI 60, grosime 10cm, structură CW/UW 50, placare dubla pe ambele părți cu plăci rezistente la foc (GKF), fără vată minerală</t>
  </si>
  <si>
    <t>Perete din gips-carton EI 90, grosime 10cm, structură CW/UW 50, placare dubla pe ambele părți cu plăci rezistente la foc (GKF), inclusiv vată minerală de 5cm</t>
  </si>
  <si>
    <t>Perete din gips-carton EI 30, grosime 10cm, structură CW/UW 75, placare simpla pe ambele părți cu plăci rezistente la foc (GKF), fără vată minerală</t>
  </si>
  <si>
    <t>Perete din gips-carton EI 60, grosime 10cm, structură CW/UW 75, placare simpla pe ambele părți cu plăci rezistente la foc (GKF), fără vată minerală</t>
  </si>
  <si>
    <t>Perete din gips-carton EI 60, grosime 12.5cm, structură CW/UW 75, placare dubla pe ambele părți cu plăci rezistente la foc (GKF), fără vată minerală</t>
  </si>
  <si>
    <t>Perete din gips-carton EI 90, grosime 12.5cm, structură CW/UW 75, placare dubla pe ambele părți cu plăci rezistente la foc (GKF), inclusiv vată minerală de 5cm</t>
  </si>
  <si>
    <t>Perete din gips-carton EI 60, grosime 15cm, structură CW/UW 100, placare dubla pe ambele părți cu plăci rezistente la foc (GKF), fără vată minerală</t>
  </si>
  <si>
    <t>Perete din gips-carton EI 90, grosime 15cm, structură CW/UW 100, placare dubla pe ambele părți cu plăci rezistente la foc (GKF), inclusiv vată minerală de 5cm</t>
  </si>
  <si>
    <t>Perete din gips-carton EI 120, grosime 15cm, structură CW/UW 100, placare dubla pe ambele părți cu plăci rezistente la foc GKF + tablă oțel, inclusiv vată minerală de 5cm</t>
  </si>
  <si>
    <t>Perete din BCA 20cm, inclusiv grund si tinci</t>
  </si>
  <si>
    <t>Perete din BCA 10cm (compartimentare usoara), inclusiv grund si tinci</t>
  </si>
  <si>
    <t>Bandou ranforsat dispus deasupra partitiei de sticla, simplu placat</t>
  </si>
  <si>
    <t>Print pe sticla (aplicat pe partitie existenta)</t>
  </si>
  <si>
    <t>Desfacere pardoseala LVT/SPC/mocheta montata prin click/Loose Lay, cu evacuare</t>
  </si>
  <si>
    <t>Desfacere pardoseala tehnica flotanta (casete+ploturi), cu evacuare</t>
  </si>
  <si>
    <t>Demontarea plinta</t>
  </si>
  <si>
    <t>m</t>
  </si>
  <si>
    <t>Ușă metalică plină EI30-C, simplu canat, dimensiuni standard</t>
  </si>
  <si>
    <t>Ușă metalică plină EI30-C, dublu canat, dimensiuni standard</t>
  </si>
  <si>
    <t>Ușă glisantă pe șină ascunsă, MDF vopsit, dimensiuni standard</t>
  </si>
  <si>
    <t>Ușă glisantă pe șină aparentă, MDF vopsit, dimensiuni standard</t>
  </si>
  <si>
    <t>Ușă metalică plină EI60-C, simplu canat, dimensiuni standard</t>
  </si>
  <si>
    <t>Ușă metalică plină EI60-C, dublu canat, dimensiuni standard</t>
  </si>
  <si>
    <t>Ușă metalică plină EI90-C, simplu canat, dimensiuni standard</t>
  </si>
  <si>
    <t>Ușă metalică plină EI90-C, dublu canat, dimensiuni standard</t>
  </si>
  <si>
    <t>Plafon din gips-carton EI 30</t>
  </si>
  <si>
    <t>Plafon din gips-carton EI 60</t>
  </si>
  <si>
    <t>Plafon din gips-carton EI 90</t>
  </si>
  <si>
    <t>Plafon din gips-carton EI 120</t>
  </si>
  <si>
    <t>Elemente speciale gips-carton</t>
  </si>
  <si>
    <t>Perete gips-carton cu dublă structură (montant dublu) pentru izolare fonică sporită (Rw ≥ 60 dB)</t>
  </si>
  <si>
    <t>Perete gips-carton curb / rotunjit pe structura metalica speciala</t>
  </si>
  <si>
    <t>Perete gips-carton cu ranforsare continuă pentru fixare mobilier suspendat greu (dulapuri, echipamente)</t>
  </si>
  <si>
    <t>Scafa de iluminat indirect din gips-carton, H=20-30cm</t>
  </si>
  <si>
    <t>Plafon din gips-carton simplu placat hidrofugat (GKBI) - zone umede (baie, bucatarie)</t>
  </si>
  <si>
    <t>Plafon din gips-carton simplu placat cu izolatie fonoabsorbanta, vata minerala 50mm</t>
  </si>
  <si>
    <t>Plafon casetat 60x60cm, inclusiv structura</t>
  </si>
  <si>
    <t>Plafon tehnic cu lamele metalice, lamele standard, spatiere standard, inclusiv structura de sustinere</t>
  </si>
  <si>
    <t xml:space="preserve">Constructie din gips-carton pentru ascundere conducte si instalatii, sectiune dreptunghiulara, dimensiuni … , </t>
  </si>
  <si>
    <t>Vopsitorie lavabila standard (alb/culori deschise), 2 straturi, inclusiv amorsa perete</t>
  </si>
  <si>
    <t>Vopsitorie lavabila standard (negru/culori inchise), 3 straturi, inclusiv amorsa perete</t>
  </si>
  <si>
    <t>Reparatii si slefuire perete gips-carton inainte de vopsire finala</t>
  </si>
  <si>
    <t>Amorsare perete / tavan inainte de vopsire</t>
  </si>
  <si>
    <t>Tencuiala decorativa de interior, cu aspect industrial</t>
  </si>
  <si>
    <t>Vopsitorie writeable</t>
  </si>
  <si>
    <t>Vopsitorie writeable magnetica</t>
  </si>
  <si>
    <t>Pardoseala LVT/SPC 50x50cm montata prin click/Loose Lay</t>
  </si>
  <si>
    <t>Pardoseala mocheta 50x50cm montata prin lipire (cu autoadeziv)</t>
  </si>
  <si>
    <t>Pardoseala LVT/SPC 50x50cm montata prin lipire (cu autoadeziv)</t>
  </si>
  <si>
    <t>Pardoseala LVT/SPC 50x50cm montata prin lipire definitiva</t>
  </si>
  <si>
    <t>Pardoseala gresie ceramica (trafic intens), dimensiuni 60x60, inclusiv adeziv si rosturi</t>
  </si>
  <si>
    <t>Pardoseala parchet laminat standard, montata prin lipire, inclusiv adeziv si montaj</t>
  </si>
  <si>
    <t>Pardoseala parchet triplustratificat, montata prin lipire, inclusiv adeziv si montaj</t>
  </si>
  <si>
    <t>Pardoseala parchet laminat standard, montata flotant (click)</t>
  </si>
  <si>
    <t>Sapa autonivelanta de egalizare, grosime 2-10mm</t>
  </si>
  <si>
    <t>Plinta mocheta/LVT/SPC</t>
  </si>
  <si>
    <t>Plinta duropolimer, inaltime standard (6-10cm)</t>
  </si>
  <si>
    <t>Plinta parchet lemn masiv 7cm</t>
  </si>
  <si>
    <t>Hidroizolatie pensulabila zona umeda, inclusiv benzi etansare colturi</t>
  </si>
  <si>
    <t>Placare gips-carton, structură CW/UW 50, 1x12.5mm placă standard (GKB), grosime totală 6.25cm</t>
  </si>
  <si>
    <t>Placare gips-carton, structură CW/UW 50, 2x12.5mm placă standard (GKB), grosime totală 7.5cm, fără vată minerală</t>
  </si>
  <si>
    <t>Placare gips-carton, structură CW/UW 50, 2x12.5mm placă standard (GKB), grosime totală 7.5cm, inclusiv vată minerală 5cm</t>
  </si>
  <si>
    <t>Placare gips-carton, structură CW/UW 50, 2x12.5mm placă hidrofugă (GKBI), grosime totală 7.5cm, fără vată minerală</t>
  </si>
  <si>
    <t>Placare din gips-carton EI 30, structură CW/UW 50, 1x12.5mm placă rezistenta la foc (GKF), grosime totală 6.25cm, fără vată minerală</t>
  </si>
  <si>
    <t>Placare din gips-carton EI 30, structură CW/UW 50, 2x12.5mm placă rezistenta la foc (GKF), grosime totală 7.5cm, fără vată minerală</t>
  </si>
  <si>
    <t>Altele</t>
  </si>
  <si>
    <t>Demontare usa acces</t>
  </si>
  <si>
    <t>Observatii 
(proiect sursa)</t>
  </si>
  <si>
    <t>Panou rigid vata bazaltica dispus sub partitia de sticla, H=15cm</t>
  </si>
  <si>
    <t>Plafon din gips-carton curb / bolta pe structura metalica speciala</t>
  </si>
  <si>
    <t>Arcade</t>
  </si>
  <si>
    <t>Usa intr-un canat, cu o foaie de sticla; 90x270cm;
Toc din aluminiu, adancime 100 mm, vopsit in camp electrostatic RAL</t>
  </si>
  <si>
    <t>Usa intr-un canat, cu 2 foi de sticla; 90x270cm;
Toc din aluminiu, adancime 100 mm, vopsit in camp electrostatic RAL</t>
  </si>
  <si>
    <t xml:space="preserve">Partitie cu o foaie de sticla, profil aluminiu </t>
  </si>
  <si>
    <t xml:space="preserve">Partitie cu 2 foi de sticla, profil aluminiu </t>
  </si>
  <si>
    <t>Usa doua canate, cu o foaie de sticla; 180x270cm;
Toc din aluminiu, adancime 100 mm, vopsit in camp electrostatic RAL</t>
  </si>
  <si>
    <t>Samsung</t>
  </si>
  <si>
    <t xml:space="preserve">?? Au dat 2 preturi cu aceeasi descriere </t>
  </si>
  <si>
    <t>Chapter</t>
  </si>
  <si>
    <t>Subch.</t>
  </si>
  <si>
    <t>DEM.1</t>
  </si>
  <si>
    <t>DEM.2</t>
  </si>
  <si>
    <t>DEM.3</t>
  </si>
  <si>
    <t>DEM.4</t>
  </si>
  <si>
    <t>DEM.5</t>
  </si>
  <si>
    <t>DEM.6</t>
  </si>
  <si>
    <t>DEM.7</t>
  </si>
  <si>
    <t>DEM.8</t>
  </si>
  <si>
    <t>DEM.9</t>
  </si>
  <si>
    <t>DEM.10</t>
  </si>
  <si>
    <t>DEM.11</t>
  </si>
  <si>
    <t>DEM.12</t>
  </si>
  <si>
    <t>DEM.13</t>
  </si>
  <si>
    <t>DEM.14</t>
  </si>
  <si>
    <t>DEM.15</t>
  </si>
  <si>
    <t>DEM.16</t>
  </si>
  <si>
    <t>DEM.17</t>
  </si>
  <si>
    <t>DEM.18</t>
  </si>
  <si>
    <t>DEM.19</t>
  </si>
  <si>
    <t>DEM.20</t>
  </si>
  <si>
    <t>WF.1</t>
  </si>
  <si>
    <t>WF.2</t>
  </si>
  <si>
    <t>WF.3</t>
  </si>
  <si>
    <t>WF.4</t>
  </si>
  <si>
    <t>WF.5</t>
  </si>
  <si>
    <t>WF.6</t>
  </si>
  <si>
    <t>WF.7</t>
  </si>
  <si>
    <t>WF.8</t>
  </si>
  <si>
    <t>WF.9</t>
  </si>
  <si>
    <t>WF.10</t>
  </si>
  <si>
    <t>WF.11</t>
  </si>
  <si>
    <t>WF.12</t>
  </si>
  <si>
    <t>FF.1</t>
  </si>
  <si>
    <t>FF.2</t>
  </si>
  <si>
    <t>FF.3</t>
  </si>
  <si>
    <t>FF.4</t>
  </si>
  <si>
    <t>FF.5</t>
  </si>
  <si>
    <t>FF.6</t>
  </si>
  <si>
    <t>FF.7</t>
  </si>
  <si>
    <t>FF.8</t>
  </si>
  <si>
    <t>FF.9</t>
  </si>
  <si>
    <t>FF.10</t>
  </si>
  <si>
    <t>FF.11</t>
  </si>
  <si>
    <t>FF.12</t>
  </si>
  <si>
    <t>FF.13</t>
  </si>
  <si>
    <t>FF.14</t>
  </si>
  <si>
    <t>FF.15</t>
  </si>
  <si>
    <t>FF.16</t>
  </si>
  <si>
    <t>FF.17</t>
  </si>
  <si>
    <t>Met Craiova</t>
  </si>
  <si>
    <t>Demolare plafon casetat 60x60cm, doar structura - demontare si evacuare</t>
  </si>
  <si>
    <t>Decopertare placare gips-carton stalp. Stalpul va fi mentinut aparent, iar instalatiile se vor poza la fata acestuia.</t>
  </si>
  <si>
    <t>Desfacere perete existent in vederea montarii unei noi usi de acces</t>
  </si>
  <si>
    <t>Reparatii locale pereti existenti</t>
  </si>
  <si>
    <t>Met Craiova
nu e clar ce perete!</t>
  </si>
  <si>
    <t>Usa interioara dintr-o foaie de sticla securizata 10mm, integrata in perete gips-carton, toc metalic din aluminiu vopsit RAL, 900x2100 mm + supralumina 600mm</t>
  </si>
  <si>
    <t>Usa interioara dintr-o foaie de sticla securizata 10mm, cu sistem de control acces, integrata in perete gips-carton, toc metalic din aluminiu vopsit RAL, 900x2100 mm + supralumina 600mm</t>
  </si>
  <si>
    <t>Ușă plină simplu canat, finisaj alb, integrata in perete gips-carton, inchidere cu cheie, dimensiune 900x2100mm</t>
  </si>
  <si>
    <t>Met Craiova
Gerflor Creation 30 Bostonian Oak Honey</t>
  </si>
  <si>
    <t xml:space="preserve">Completare cu dale flotanta montate pe picioruse la aceeasi cota finita cu cea existenta in locatie </t>
  </si>
  <si>
    <t>Profil de treapta</t>
  </si>
  <si>
    <t>PARTITII SI TAMPLARIE INTERIOARE</t>
  </si>
  <si>
    <t>PERETI</t>
  </si>
  <si>
    <t>Finisaje Pereti</t>
  </si>
  <si>
    <t>Lucrari Pereti</t>
  </si>
  <si>
    <t>PARDOSELI</t>
  </si>
  <si>
    <t>Lucrari Pardoseli</t>
  </si>
  <si>
    <t>Finisaje Pardoseli</t>
  </si>
  <si>
    <t>CW.1</t>
  </si>
  <si>
    <t>FW.01</t>
  </si>
  <si>
    <t>FW.02</t>
  </si>
  <si>
    <t>FW.03</t>
  </si>
  <si>
    <t>FW.04</t>
  </si>
  <si>
    <t>WW.01</t>
  </si>
  <si>
    <t>GW.1</t>
  </si>
  <si>
    <t>GW.2</t>
  </si>
  <si>
    <t>GW.3</t>
  </si>
  <si>
    <t>GW.4</t>
  </si>
  <si>
    <t>Desfacere partitii sticla si tamplarie</t>
  </si>
  <si>
    <t>Folie sablaj, aplicata pe usa sticla</t>
  </si>
  <si>
    <t>Autocolant cutter plotter aplicat peste vopsitorie lavabila</t>
  </si>
  <si>
    <r>
      <t xml:space="preserve">Autocolant, cutter plotter, </t>
    </r>
    <r>
      <rPr>
        <sz val="11"/>
        <color rgb="FFFF0000"/>
        <rFont val="Calibri"/>
        <family val="2"/>
        <scheme val="minor"/>
      </rPr>
      <t>aplicat pe usa sticla</t>
    </r>
  </si>
  <si>
    <t>PMM</t>
  </si>
  <si>
    <t>PMM, inclusiv plinta</t>
  </si>
  <si>
    <t>Ușă plină simplu canat, finisaj alb, integrata in perete gips-carton, inchidere cu cheie, dimensiune 800x2100mm</t>
  </si>
  <si>
    <t>Arcade, Samsung</t>
  </si>
  <si>
    <t>GLS.01</t>
  </si>
  <si>
    <t>GLS.02</t>
  </si>
  <si>
    <t>GLS.03</t>
  </si>
  <si>
    <t>GLS.04</t>
  </si>
  <si>
    <t>GLS.05</t>
  </si>
  <si>
    <t>GLS.06</t>
  </si>
  <si>
    <t>GLS.07</t>
  </si>
  <si>
    <t>D.01</t>
  </si>
  <si>
    <t>D.02</t>
  </si>
  <si>
    <t>D.03</t>
  </si>
  <si>
    <t>D.04</t>
  </si>
  <si>
    <t>D.05</t>
  </si>
  <si>
    <t>D.06</t>
  </si>
  <si>
    <t>D.07</t>
  </si>
  <si>
    <t>D.08</t>
  </si>
  <si>
    <t>D.09</t>
  </si>
  <si>
    <t>D.10</t>
  </si>
  <si>
    <t>D.11</t>
  </si>
  <si>
    <t>D.12</t>
  </si>
  <si>
    <t>GLW.01</t>
  </si>
  <si>
    <t>GLW.02</t>
  </si>
  <si>
    <t>GLW.03</t>
  </si>
  <si>
    <t>Finisaje Tavane</t>
  </si>
  <si>
    <t>Lucrari Tavane</t>
  </si>
  <si>
    <t>Vopsitorie alba bandourisi plafon casetat</t>
  </si>
  <si>
    <t>CW.2</t>
  </si>
  <si>
    <t>CW.3</t>
  </si>
  <si>
    <t>CW.4</t>
  </si>
  <si>
    <t>CW.5</t>
  </si>
  <si>
    <t>CW.6</t>
  </si>
  <si>
    <t>CW.7</t>
  </si>
  <si>
    <t>CW.8</t>
  </si>
  <si>
    <t>CW.9</t>
  </si>
  <si>
    <t>CW.10</t>
  </si>
  <si>
    <t>CW.11</t>
  </si>
  <si>
    <t>CW.12</t>
  </si>
  <si>
    <t>CW.13</t>
  </si>
  <si>
    <t>CF.1</t>
  </si>
  <si>
    <t>WF.13</t>
  </si>
  <si>
    <t xml:space="preserve"> Samsung - pret  ansamblu</t>
  </si>
  <si>
    <t>PWC - Alan</t>
  </si>
  <si>
    <t>COMPARTIMENTARI</t>
  </si>
  <si>
    <t>Pereti gips-carton 7.5cm</t>
  </si>
  <si>
    <t>Pereti gips-carton 10cm</t>
  </si>
  <si>
    <t>Pereti gips-carton 12.5cm</t>
  </si>
  <si>
    <t>Pereti gips-carton 15cm</t>
  </si>
  <si>
    <t>Pereti RF</t>
  </si>
  <si>
    <t xml:space="preserve">Altele - Partitii </t>
  </si>
  <si>
    <t>DEM.21</t>
  </si>
  <si>
    <t>DEM.22</t>
  </si>
  <si>
    <t>DEM.23</t>
  </si>
  <si>
    <t>GW.5</t>
  </si>
  <si>
    <t>GW.6</t>
  </si>
  <si>
    <t>GW.7</t>
  </si>
  <si>
    <t>GW.8</t>
  </si>
  <si>
    <t>GW.9</t>
  </si>
  <si>
    <t>GW.10</t>
  </si>
  <si>
    <t>GW.11</t>
  </si>
  <si>
    <t>GW.12</t>
  </si>
  <si>
    <t>GW.13</t>
  </si>
  <si>
    <t>GW.14</t>
  </si>
  <si>
    <t>GW.15</t>
  </si>
  <si>
    <t>GW.16</t>
  </si>
  <si>
    <t>GW.17</t>
  </si>
  <si>
    <t>GW.18</t>
  </si>
  <si>
    <t>GW.19</t>
  </si>
  <si>
    <t>GW.20</t>
  </si>
  <si>
    <t>GW.21</t>
  </si>
  <si>
    <t>GW.22</t>
  </si>
  <si>
    <t>GW.23</t>
  </si>
  <si>
    <t>GW.24</t>
  </si>
  <si>
    <t>GW.25</t>
  </si>
  <si>
    <t>GW.26</t>
  </si>
  <si>
    <t>GW.27</t>
  </si>
  <si>
    <t>GW.28</t>
  </si>
  <si>
    <t>GW.29</t>
  </si>
  <si>
    <t>GW.30</t>
  </si>
  <si>
    <t>GW.31</t>
  </si>
  <si>
    <t>GW.32</t>
  </si>
  <si>
    <t>GW.33</t>
  </si>
  <si>
    <t>GW.34</t>
  </si>
  <si>
    <t>GW.35</t>
  </si>
  <si>
    <t>GW.36</t>
  </si>
  <si>
    <t>GW.37</t>
  </si>
  <si>
    <t>GW.38</t>
  </si>
  <si>
    <t>GW.39</t>
  </si>
  <si>
    <t>GW.40</t>
  </si>
  <si>
    <t>GW.41</t>
  </si>
  <si>
    <t>Altele - Zidarie</t>
  </si>
  <si>
    <t>Demontare usa din sticla montata in sistem de compartimentare modulara sau in perete de gips carton (inclusiv toc aluminiu si accesorii)</t>
  </si>
  <si>
    <t>Demontare ecran acustic in plafon</t>
  </si>
  <si>
    <t>Demontare folie sablaj</t>
  </si>
  <si>
    <t>Modificare pardoseala flotanta existenta- demontare, taiere, suplimentare structura pe conturul peretilor de compartimentare noi (pereti pe placa);</t>
  </si>
  <si>
    <t>FW.05</t>
  </si>
  <si>
    <t>PWC - Alan 
(vata 4cm)</t>
  </si>
  <si>
    <t>GW.42</t>
  </si>
  <si>
    <t>Ranforsare pentru prindere Ecrane TV - Placa GK antismulgere</t>
  </si>
  <si>
    <t>Met Craiova
1 ans</t>
  </si>
  <si>
    <t>Perete gips-carton, grosime 12.5cm, structură CW/UW 75, RANFORSARE suplimentara cu UA, placare dubla pe ambele părți cu plăci standard (GKB), inclusiv vată minerală de 4cm.</t>
  </si>
  <si>
    <t>Ranforsare realizata cu profile UA pentru montaj usi in pereti gips-carton</t>
  </si>
  <si>
    <t>Plafon din gips-carton simplu placat, montat pe structura metalica R30, include gleturie, slefuire; clasa de combustibilitate C0;</t>
  </si>
  <si>
    <t>Plafon mineral casetat, dimensiune 60x60 cm; clasa de combustibilitate C0; montat pe structura metalica R30; se reutilizeaza biscuiti existenti;</t>
  </si>
  <si>
    <t>Plafon din gips-carton simplu placat, montat pe structura metalica, inclusiv structura, gletuire si slefuire</t>
  </si>
  <si>
    <t>Perete din gips-carton EI 30, grosime 7.5cm, structură CW/UW 50, placare simpla pe ambele părți cu plăci simple (GKB), fără vată minerală</t>
  </si>
  <si>
    <t>DEM.24</t>
  </si>
  <si>
    <t>DEM.25</t>
  </si>
  <si>
    <t>GW.43</t>
  </si>
  <si>
    <t>GW.44</t>
  </si>
  <si>
    <t>W.01</t>
  </si>
  <si>
    <t>W.02</t>
  </si>
  <si>
    <t>W.03</t>
  </si>
  <si>
    <t>W.04</t>
  </si>
  <si>
    <t>W.05</t>
  </si>
  <si>
    <t>CW.14</t>
  </si>
  <si>
    <t>CW.15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</si>
</sst>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(* #,##0.00_);_(* \(#,##0.00\);_(* &quot;-&quot;??_);_(@_)"/>
    <numFmt numFmtId="164" formatCode="_(* #,##0.00_);_(* \(#,##0.00\);_(* \-??_);_(@_)"/>
    <numFmt numFmtId="165" formatCode="_([$€-2]\ * #,##0.00_);_([$€-2]\ * \(#,##0.00\);_([$€-2]\ * &quot;-&quot;??_);_(@_)"/>
    <numFmt numFmtId="166" formatCode="[$€-409]\ * #,##0.00\ ;[$€-409]\ * \(#,##0.00\);[$€-409]\ * \-#\ ;\ @\ "/>
  </numFmts>
  <fonts count="18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Arial"/>
    </font>
    <font>
      <sz val="11"/>
      <name val="Calibri"/>
      <family val="2"/>
      <scheme val="minor"/>
    </font>
    <font>
      <b/>
      <sz val="11"/>
      <name val="Arial"/>
    </font>
    <font>
      <sz val="11"/>
      <name val="Arial"/>
    </font>
    <font>
      <sz val="8"/>
      <name val="Calibri"/>
      <family val="2"/>
      <scheme val="minor"/>
    </font>
    <font>
      <b/>
      <sz val="11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indexed="8"/>
      <name val="Calibri"/>
      <family val="2"/>
      <charset val="238"/>
    </font>
    <font>
      <b/>
      <sz val="14"/>
      <name val="Calibri"/>
      <scheme val="minor"/>
    </font>
    <font>
      <sz val="11"/>
      <color theme="1"/>
      <name val="Calibri"/>
      <family val="2"/>
      <scheme val="minor"/>
    </font>
    <font>
      <sz val="11"/>
      <color rgb="FF0070C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1" tint="0.499984740745262"/>
        <bgColor indexed="23"/>
      </patternFill>
    </fill>
    <fill>
      <patternFill patternType="solid">
        <fgColor theme="1" tint="0.499984740745262"/>
        <bgColor indexed="55"/>
      </patternFill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80808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4" fillId="0" borderId="0"/>
    <xf numFmtId="43" fontId="16" fillId="0" borderId="0" applyFont="0" applyFill="0" applyBorder="0" applyAlignment="0" applyProtection="0"/>
  </cellStyleXfs>
  <cellXfs count="36">
    <xf numFmtId="0" fontId="0" fillId="0" borderId="0" xfId="0"/>
    <xf numFmtId="49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vertical="center"/>
    </xf>
    <xf numFmtId="165" fontId="3" fillId="4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left" vertical="center"/>
    </xf>
    <xf numFmtId="165" fontId="4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 vertical="center"/>
    </xf>
    <xf numFmtId="49" fontId="11" fillId="2" borderId="1" xfId="0" applyNumberFormat="1" applyFont="1" applyFill="1" applyBorder="1" applyAlignment="1">
      <alignment horizontal="left" vertical="center"/>
    </xf>
    <xf numFmtId="166" fontId="5" fillId="5" borderId="1" xfId="0" applyNumberFormat="1" applyFont="1" applyFill="1" applyBorder="1" applyAlignment="1">
      <alignment horizontal="center" vertical="center" wrapText="1"/>
    </xf>
    <xf numFmtId="166" fontId="10" fillId="5" borderId="1" xfId="0" applyNumberFormat="1" applyFont="1" applyFill="1" applyBorder="1" applyAlignment="1">
      <alignment horizontal="center" vertical="center" wrapText="1"/>
    </xf>
    <xf numFmtId="49" fontId="10" fillId="5" borderId="1" xfId="0" applyNumberFormat="1" applyFont="1" applyFill="1" applyBorder="1" applyAlignment="1">
      <alignment horizontal="center" vertical="center" wrapText="1"/>
    </xf>
    <xf numFmtId="166" fontId="13" fillId="5" borderId="1" xfId="0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vertical="center" wrapText="1"/>
    </xf>
    <xf numFmtId="165" fontId="13" fillId="5" borderId="1" xfId="0" applyNumberFormat="1" applyFont="1" applyFill="1" applyBorder="1" applyAlignment="1">
      <alignment horizontal="center" vertical="center" wrapText="1"/>
    </xf>
    <xf numFmtId="166" fontId="12" fillId="5" borderId="1" xfId="0" applyNumberFormat="1" applyFont="1" applyFill="1" applyBorder="1" applyAlignment="1">
      <alignment horizontal="center" vertical="center" wrapText="1"/>
    </xf>
    <xf numFmtId="49" fontId="10" fillId="5" borderId="1" xfId="0" applyNumberFormat="1" applyFont="1" applyFill="1" applyBorder="1" applyAlignment="1">
      <alignment horizontal="left" vertical="center" wrapText="1"/>
    </xf>
    <xf numFmtId="49" fontId="13" fillId="5" borderId="1" xfId="0" applyNumberFormat="1" applyFont="1" applyFill="1" applyBorder="1" applyAlignment="1">
      <alignment horizontal="center" vertical="center" wrapText="1"/>
    </xf>
    <xf numFmtId="49" fontId="13" fillId="5" borderId="1" xfId="0" applyNumberFormat="1" applyFont="1" applyFill="1" applyBorder="1" applyAlignment="1">
      <alignment horizontal="left" vertical="center" wrapText="1"/>
    </xf>
    <xf numFmtId="165" fontId="12" fillId="5" borderId="1" xfId="0" applyNumberFormat="1" applyFont="1" applyFill="1" applyBorder="1" applyAlignment="1">
      <alignment horizontal="center" vertical="center" wrapText="1"/>
    </xf>
    <xf numFmtId="49" fontId="4" fillId="6" borderId="1" xfId="0" applyNumberFormat="1" applyFont="1" applyFill="1" applyBorder="1" applyAlignment="1">
      <alignment horizontal="center" vertical="center"/>
    </xf>
    <xf numFmtId="49" fontId="15" fillId="7" borderId="1" xfId="0" applyNumberFormat="1" applyFont="1" applyFill="1" applyBorder="1" applyAlignment="1">
      <alignment horizontal="center" vertical="center"/>
    </xf>
    <xf numFmtId="166" fontId="5" fillId="0" borderId="1" xfId="2" applyNumberFormat="1" applyFont="1" applyBorder="1" applyAlignment="1" applyProtection="1">
      <alignment horizontal="right" vertical="center" wrapText="1"/>
    </xf>
    <xf numFmtId="49" fontId="12" fillId="5" borderId="1" xfId="0" applyNumberFormat="1" applyFont="1" applyFill="1" applyBorder="1" applyAlignment="1">
      <alignment horizontal="center" vertical="center" wrapText="1"/>
    </xf>
    <xf numFmtId="49" fontId="17" fillId="5" borderId="1" xfId="0" applyNumberFormat="1" applyFont="1" applyFill="1" applyBorder="1" applyAlignment="1">
      <alignment horizontal="left" vertical="center" wrapText="1"/>
    </xf>
  </cellXfs>
  <cellStyles count="3">
    <cellStyle name="Comma" xfId="2" builtinId="3"/>
    <cellStyle name="Normal" xfId="0" builtinId="0"/>
    <cellStyle name="Normal 8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31192D-51F2-465B-900B-6682CD780482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549a7cc8-4d03-4c85-865f-5e053850293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8"/>
  <sheetViews>
    <sheetView tabSelected="1" topLeftCell="A145" zoomScale="80" zoomScaleNormal="80" workbookViewId="0">
      <selection activeCell="B179" sqref="B179"/>
    </sheetView>
  </sheetViews>
  <sheetFormatPr defaultRowHeight="15" outlineLevelRow="1" x14ac:dyDescent="0.25"/>
  <cols>
    <col min="1" max="1" width="12.28515625" customWidth="1"/>
    <col min="2" max="2" width="80.28515625" customWidth="1"/>
    <col min="3" max="3" width="10.140625" style="17" customWidth="1"/>
    <col min="4" max="4" width="10.42578125" style="17" customWidth="1"/>
    <col min="5" max="5" width="11.85546875" style="17" customWidth="1"/>
    <col min="6" max="6" width="11.28515625" style="17" customWidth="1"/>
    <col min="7" max="7" width="20.85546875" style="17" customWidth="1"/>
    <col min="8" max="8" width="3" customWidth="1"/>
    <col min="9" max="9" width="11.85546875" style="17" customWidth="1"/>
    <col min="10" max="10" width="15.140625" style="17" customWidth="1"/>
  </cols>
  <sheetData>
    <row r="1" spans="1:10" ht="60" x14ac:dyDescent="0.25">
      <c r="A1" s="9" t="s">
        <v>0</v>
      </c>
      <c r="B1" s="10" t="s">
        <v>1</v>
      </c>
      <c r="C1" s="9" t="s">
        <v>2</v>
      </c>
      <c r="D1" s="11" t="s">
        <v>3</v>
      </c>
      <c r="E1" s="9" t="s">
        <v>4</v>
      </c>
      <c r="F1" s="9" t="s">
        <v>5</v>
      </c>
      <c r="G1" s="9" t="s">
        <v>135</v>
      </c>
      <c r="I1" s="9" t="s">
        <v>4</v>
      </c>
      <c r="J1" s="9" t="s">
        <v>135</v>
      </c>
    </row>
    <row r="2" spans="1:10" ht="18.75" x14ac:dyDescent="0.25">
      <c r="A2" s="1" t="s">
        <v>146</v>
      </c>
      <c r="B2" s="2" t="s">
        <v>6</v>
      </c>
      <c r="C2" s="1"/>
      <c r="D2" s="1"/>
      <c r="E2" s="3"/>
      <c r="F2" s="3"/>
      <c r="G2" s="3"/>
      <c r="I2" s="3"/>
      <c r="J2" s="3"/>
    </row>
    <row r="3" spans="1:10" outlineLevel="1" x14ac:dyDescent="0.25">
      <c r="A3" s="4" t="s">
        <v>147</v>
      </c>
      <c r="B3" s="5" t="s">
        <v>7</v>
      </c>
      <c r="C3" s="4"/>
      <c r="D3" s="4"/>
      <c r="E3" s="6"/>
      <c r="F3" s="6"/>
      <c r="G3" s="6"/>
      <c r="I3" s="6"/>
      <c r="J3" s="6"/>
    </row>
    <row r="4" spans="1:10" outlineLevel="1" x14ac:dyDescent="0.25">
      <c r="A4" s="22" t="s">
        <v>148</v>
      </c>
      <c r="B4" s="27" t="s">
        <v>8</v>
      </c>
      <c r="C4" s="22" t="s">
        <v>19</v>
      </c>
      <c r="D4" s="7">
        <v>1</v>
      </c>
      <c r="E4" s="21"/>
      <c r="F4" s="24">
        <f t="shared" ref="F4:F9" si="0">D4*E4</f>
        <v>0</v>
      </c>
      <c r="G4" s="24"/>
      <c r="I4" s="21"/>
      <c r="J4" s="24"/>
    </row>
    <row r="5" spans="1:10" ht="30" outlineLevel="1" x14ac:dyDescent="0.25">
      <c r="A5" s="22" t="s">
        <v>149</v>
      </c>
      <c r="B5" s="27" t="s">
        <v>200</v>
      </c>
      <c r="C5" s="22" t="s">
        <v>9</v>
      </c>
      <c r="D5" s="7">
        <v>1</v>
      </c>
      <c r="E5" s="26">
        <v>27.95</v>
      </c>
      <c r="F5" s="24">
        <f t="shared" si="0"/>
        <v>27.95</v>
      </c>
      <c r="G5" s="30" t="s">
        <v>202</v>
      </c>
      <c r="I5" s="21"/>
      <c r="J5" s="24"/>
    </row>
    <row r="6" spans="1:10" outlineLevel="1" x14ac:dyDescent="0.25">
      <c r="A6" s="22" t="s">
        <v>150</v>
      </c>
      <c r="B6" s="27" t="s">
        <v>36</v>
      </c>
      <c r="C6" s="22" t="s">
        <v>9</v>
      </c>
      <c r="D6" s="7">
        <v>1</v>
      </c>
      <c r="E6" s="21">
        <v>19.690000000000001</v>
      </c>
      <c r="F6" s="24">
        <f t="shared" si="0"/>
        <v>19.690000000000001</v>
      </c>
      <c r="G6" s="24" t="s">
        <v>274</v>
      </c>
      <c r="I6" s="21"/>
      <c r="J6" s="24"/>
    </row>
    <row r="7" spans="1:10" outlineLevel="1" x14ac:dyDescent="0.25">
      <c r="A7" s="22" t="s">
        <v>151</v>
      </c>
      <c r="B7" s="27" t="s">
        <v>10</v>
      </c>
      <c r="C7" s="22" t="s">
        <v>9</v>
      </c>
      <c r="D7" s="7">
        <v>1</v>
      </c>
      <c r="E7" s="21"/>
      <c r="F7" s="24">
        <f t="shared" si="0"/>
        <v>0</v>
      </c>
      <c r="G7" s="24"/>
      <c r="I7" s="21"/>
      <c r="J7" s="24"/>
    </row>
    <row r="8" spans="1:10" outlineLevel="1" x14ac:dyDescent="0.25">
      <c r="A8" s="22" t="s">
        <v>152</v>
      </c>
      <c r="B8" s="27" t="s">
        <v>16</v>
      </c>
      <c r="C8" s="22" t="s">
        <v>12</v>
      </c>
      <c r="D8" s="8">
        <v>1</v>
      </c>
      <c r="E8" s="21">
        <v>240</v>
      </c>
      <c r="F8" s="24">
        <f t="shared" si="0"/>
        <v>240</v>
      </c>
      <c r="G8" s="24" t="s">
        <v>144</v>
      </c>
      <c r="I8" s="21"/>
      <c r="J8" s="24"/>
    </row>
    <row r="9" spans="1:10" ht="30" outlineLevel="1" x14ac:dyDescent="0.25">
      <c r="A9" s="22" t="s">
        <v>153</v>
      </c>
      <c r="B9" s="27" t="s">
        <v>199</v>
      </c>
      <c r="C9" s="22" t="s">
        <v>9</v>
      </c>
      <c r="D9" s="8">
        <v>1</v>
      </c>
      <c r="E9" s="21">
        <v>24.7</v>
      </c>
      <c r="F9" s="24">
        <f t="shared" si="0"/>
        <v>24.7</v>
      </c>
      <c r="G9" s="24" t="s">
        <v>197</v>
      </c>
      <c r="I9" s="21"/>
      <c r="J9" s="24"/>
    </row>
    <row r="10" spans="1:10" outlineLevel="1" x14ac:dyDescent="0.25">
      <c r="A10" s="31" t="s">
        <v>147</v>
      </c>
      <c r="B10" s="5" t="s">
        <v>11</v>
      </c>
      <c r="C10" s="4"/>
      <c r="D10" s="4"/>
      <c r="E10" s="4"/>
      <c r="F10" s="4"/>
      <c r="G10" s="4"/>
      <c r="I10" s="4"/>
      <c r="J10" s="4"/>
    </row>
    <row r="11" spans="1:10" ht="30" outlineLevel="1" x14ac:dyDescent="0.25">
      <c r="A11" s="22" t="s">
        <v>154</v>
      </c>
      <c r="B11" s="27" t="s">
        <v>37</v>
      </c>
      <c r="C11" s="22" t="s">
        <v>9</v>
      </c>
      <c r="D11" s="7">
        <v>1</v>
      </c>
      <c r="E11" s="21">
        <v>21.32</v>
      </c>
      <c r="F11" s="24">
        <f t="shared" ref="F11:F16" si="1">D11*E11</f>
        <v>21.32</v>
      </c>
      <c r="G11" s="24"/>
      <c r="I11" s="26">
        <v>2500</v>
      </c>
      <c r="J11" s="24" t="s">
        <v>273</v>
      </c>
    </row>
    <row r="12" spans="1:10" outlineLevel="1" x14ac:dyDescent="0.25">
      <c r="A12" s="22" t="s">
        <v>155</v>
      </c>
      <c r="B12" s="27" t="s">
        <v>40</v>
      </c>
      <c r="C12" s="22" t="s">
        <v>9</v>
      </c>
      <c r="D12" s="7">
        <v>1</v>
      </c>
      <c r="E12" s="21">
        <v>13.12</v>
      </c>
      <c r="F12" s="24">
        <f t="shared" si="1"/>
        <v>13.12</v>
      </c>
      <c r="G12" s="24" t="s">
        <v>274</v>
      </c>
      <c r="I12" s="21"/>
      <c r="J12" s="24"/>
    </row>
    <row r="13" spans="1:10" outlineLevel="1" x14ac:dyDescent="0.25">
      <c r="A13" s="22" t="s">
        <v>156</v>
      </c>
      <c r="B13" s="27" t="s">
        <v>38</v>
      </c>
      <c r="C13" s="22" t="s">
        <v>9</v>
      </c>
      <c r="D13" s="7">
        <v>1</v>
      </c>
      <c r="E13" s="21">
        <v>16.899999999999999</v>
      </c>
      <c r="F13" s="24">
        <f t="shared" si="1"/>
        <v>16.899999999999999</v>
      </c>
      <c r="G13" s="24" t="s">
        <v>230</v>
      </c>
      <c r="I13" s="21"/>
      <c r="J13" s="24"/>
    </row>
    <row r="14" spans="1:10" outlineLevel="1" x14ac:dyDescent="0.25">
      <c r="A14" s="22" t="s">
        <v>157</v>
      </c>
      <c r="B14" s="27" t="s">
        <v>198</v>
      </c>
      <c r="C14" s="22" t="s">
        <v>9</v>
      </c>
      <c r="D14" s="7">
        <v>1</v>
      </c>
      <c r="E14" s="33">
        <v>16.899999999999999</v>
      </c>
      <c r="F14" s="24">
        <f t="shared" si="1"/>
        <v>16.899999999999999</v>
      </c>
      <c r="G14" s="24" t="s">
        <v>197</v>
      </c>
      <c r="I14" s="21"/>
      <c r="J14" s="24"/>
    </row>
    <row r="15" spans="1:10" outlineLevel="1" x14ac:dyDescent="0.25">
      <c r="A15" s="22" t="s">
        <v>158</v>
      </c>
      <c r="B15" s="27" t="s">
        <v>39</v>
      </c>
      <c r="C15" s="22" t="s">
        <v>9</v>
      </c>
      <c r="D15" s="7">
        <v>1</v>
      </c>
      <c r="E15" s="21"/>
      <c r="F15" s="24">
        <f t="shared" si="1"/>
        <v>0</v>
      </c>
      <c r="G15" s="24"/>
      <c r="I15" s="21"/>
      <c r="J15" s="24"/>
    </row>
    <row r="16" spans="1:10" outlineLevel="1" x14ac:dyDescent="0.25">
      <c r="A16" s="22" t="s">
        <v>159</v>
      </c>
      <c r="B16" s="27" t="s">
        <v>324</v>
      </c>
      <c r="C16" s="22" t="s">
        <v>9</v>
      </c>
      <c r="D16" s="7">
        <v>1</v>
      </c>
      <c r="E16" s="21">
        <v>19.690000000000001</v>
      </c>
      <c r="F16" s="24">
        <f t="shared" si="1"/>
        <v>19.690000000000001</v>
      </c>
      <c r="G16" s="24"/>
      <c r="I16" s="21"/>
      <c r="J16" s="24"/>
    </row>
    <row r="17" spans="1:10" outlineLevel="1" x14ac:dyDescent="0.25">
      <c r="A17" s="31" t="s">
        <v>147</v>
      </c>
      <c r="B17" s="5" t="s">
        <v>13</v>
      </c>
      <c r="C17" s="4"/>
      <c r="D17" s="4"/>
      <c r="E17" s="6"/>
      <c r="F17" s="6"/>
      <c r="G17" s="6"/>
      <c r="I17" s="6"/>
      <c r="J17" s="6"/>
    </row>
    <row r="18" spans="1:10" outlineLevel="1" x14ac:dyDescent="0.25">
      <c r="A18" s="22" t="s">
        <v>160</v>
      </c>
      <c r="B18" s="27" t="s">
        <v>81</v>
      </c>
      <c r="C18" s="22" t="s">
        <v>9</v>
      </c>
      <c r="D18" s="8">
        <v>1</v>
      </c>
      <c r="E18" s="21"/>
      <c r="F18" s="24">
        <f t="shared" ref="F18:F24" si="2">D18*E18</f>
        <v>0</v>
      </c>
      <c r="G18" s="24"/>
      <c r="I18" s="21"/>
      <c r="J18" s="24"/>
    </row>
    <row r="19" spans="1:10" ht="30" outlineLevel="1" x14ac:dyDescent="0.25">
      <c r="A19" s="22" t="s">
        <v>161</v>
      </c>
      <c r="B19" s="27" t="s">
        <v>41</v>
      </c>
      <c r="C19" s="22" t="s">
        <v>9</v>
      </c>
      <c r="D19" s="8">
        <v>1</v>
      </c>
      <c r="E19" s="21">
        <v>2.62</v>
      </c>
      <c r="F19" s="24">
        <f t="shared" si="2"/>
        <v>2.62</v>
      </c>
      <c r="G19" s="24" t="s">
        <v>274</v>
      </c>
      <c r="I19" s="21">
        <v>3.9</v>
      </c>
      <c r="J19" s="24" t="s">
        <v>231</v>
      </c>
    </row>
    <row r="20" spans="1:10" ht="30" outlineLevel="1" x14ac:dyDescent="0.25">
      <c r="A20" s="22" t="s">
        <v>162</v>
      </c>
      <c r="B20" s="27" t="s">
        <v>42</v>
      </c>
      <c r="C20" s="22" t="s">
        <v>9</v>
      </c>
      <c r="D20" s="8">
        <v>1</v>
      </c>
      <c r="E20" s="21"/>
      <c r="F20" s="24">
        <f t="shared" si="2"/>
        <v>0</v>
      </c>
      <c r="G20" s="24"/>
      <c r="I20" s="21"/>
      <c r="J20" s="24"/>
    </row>
    <row r="21" spans="1:10" outlineLevel="1" x14ac:dyDescent="0.25">
      <c r="A21" s="22" t="s">
        <v>163</v>
      </c>
      <c r="B21" s="27" t="s">
        <v>82</v>
      </c>
      <c r="C21" s="22" t="s">
        <v>9</v>
      </c>
      <c r="D21" s="8">
        <v>1</v>
      </c>
      <c r="E21" s="21"/>
      <c r="F21" s="24">
        <f t="shared" si="2"/>
        <v>0</v>
      </c>
      <c r="G21" s="24"/>
      <c r="I21" s="21"/>
      <c r="J21" s="24"/>
    </row>
    <row r="22" spans="1:10" ht="30" outlineLevel="1" x14ac:dyDescent="0.25">
      <c r="A22" s="22" t="s">
        <v>164</v>
      </c>
      <c r="B22" s="27" t="s">
        <v>43</v>
      </c>
      <c r="C22" s="22" t="s">
        <v>9</v>
      </c>
      <c r="D22" s="8">
        <v>1</v>
      </c>
      <c r="E22" s="21"/>
      <c r="F22" s="24">
        <f t="shared" si="2"/>
        <v>0</v>
      </c>
      <c r="G22" s="24"/>
      <c r="I22" s="21"/>
      <c r="J22" s="24"/>
    </row>
    <row r="23" spans="1:10" outlineLevel="1" x14ac:dyDescent="0.25">
      <c r="A23" s="22" t="s">
        <v>165</v>
      </c>
      <c r="B23" s="27" t="s">
        <v>83</v>
      </c>
      <c r="C23" s="22" t="s">
        <v>84</v>
      </c>
      <c r="D23" s="8">
        <v>1</v>
      </c>
      <c r="E23" s="21"/>
      <c r="F23" s="24">
        <f t="shared" si="2"/>
        <v>0</v>
      </c>
      <c r="G23" s="24"/>
      <c r="I23" s="21"/>
      <c r="J23" s="24"/>
    </row>
    <row r="24" spans="1:10" ht="30" outlineLevel="1" x14ac:dyDescent="0.25">
      <c r="A24" s="22" t="s">
        <v>166</v>
      </c>
      <c r="B24" s="27" t="s">
        <v>44</v>
      </c>
      <c r="C24" s="22" t="s">
        <v>9</v>
      </c>
      <c r="D24" s="8">
        <v>1</v>
      </c>
      <c r="E24" s="21"/>
      <c r="F24" s="24">
        <f t="shared" si="2"/>
        <v>0</v>
      </c>
      <c r="G24" s="24"/>
      <c r="I24" s="21"/>
      <c r="J24" s="24"/>
    </row>
    <row r="25" spans="1:10" outlineLevel="1" x14ac:dyDescent="0.25">
      <c r="A25" s="31" t="s">
        <v>147</v>
      </c>
      <c r="B25" s="19" t="s">
        <v>226</v>
      </c>
      <c r="C25" s="4"/>
      <c r="D25" s="4"/>
      <c r="E25" s="6"/>
      <c r="F25" s="6"/>
      <c r="G25" s="6"/>
      <c r="I25" s="6"/>
      <c r="J25" s="6"/>
    </row>
    <row r="26" spans="1:10" outlineLevel="1" x14ac:dyDescent="0.25">
      <c r="A26" s="22" t="s">
        <v>167</v>
      </c>
      <c r="B26" s="27" t="s">
        <v>14</v>
      </c>
      <c r="C26" s="22" t="s">
        <v>9</v>
      </c>
      <c r="D26" s="8">
        <v>1</v>
      </c>
      <c r="E26" s="21">
        <v>49.22</v>
      </c>
      <c r="F26" s="24">
        <f>D26*E26</f>
        <v>49.22</v>
      </c>
      <c r="G26" s="24" t="s">
        <v>274</v>
      </c>
      <c r="I26" s="21"/>
      <c r="J26" s="24"/>
    </row>
    <row r="27" spans="1:10" outlineLevel="1" x14ac:dyDescent="0.25">
      <c r="A27" s="22" t="s">
        <v>282</v>
      </c>
      <c r="B27" s="27" t="s">
        <v>45</v>
      </c>
      <c r="C27" s="22" t="s">
        <v>9</v>
      </c>
      <c r="D27" s="8">
        <v>1</v>
      </c>
      <c r="E27" s="21"/>
      <c r="F27" s="24">
        <f>D27*E27</f>
        <v>0</v>
      </c>
      <c r="G27" s="24"/>
      <c r="I27" s="21"/>
      <c r="J27" s="24"/>
    </row>
    <row r="28" spans="1:10" ht="30" outlineLevel="1" x14ac:dyDescent="0.25">
      <c r="A28" s="22" t="s">
        <v>283</v>
      </c>
      <c r="B28" s="27" t="s">
        <v>323</v>
      </c>
      <c r="C28" s="22" t="s">
        <v>15</v>
      </c>
      <c r="D28" s="8">
        <v>1</v>
      </c>
      <c r="E28" s="21">
        <v>70.540000000000006</v>
      </c>
      <c r="F28" s="24">
        <f>D28*E28</f>
        <v>70.540000000000006</v>
      </c>
      <c r="G28" s="24" t="s">
        <v>274</v>
      </c>
      <c r="I28" s="21"/>
      <c r="J28" s="24"/>
    </row>
    <row r="29" spans="1:10" outlineLevel="1" x14ac:dyDescent="0.25">
      <c r="A29" s="22" t="s">
        <v>284</v>
      </c>
      <c r="B29" s="27" t="s">
        <v>134</v>
      </c>
      <c r="C29" s="22" t="s">
        <v>15</v>
      </c>
      <c r="D29" s="8">
        <v>1</v>
      </c>
      <c r="E29" s="21">
        <v>60</v>
      </c>
      <c r="F29" s="24">
        <f>D29*E29</f>
        <v>60</v>
      </c>
      <c r="G29" s="24" t="s">
        <v>144</v>
      </c>
      <c r="I29" s="21">
        <v>74.099999999999994</v>
      </c>
      <c r="J29" s="24" t="s">
        <v>197</v>
      </c>
    </row>
    <row r="30" spans="1:10" outlineLevel="1" x14ac:dyDescent="0.25">
      <c r="A30" s="22" t="s">
        <v>338</v>
      </c>
      <c r="B30" s="27" t="s">
        <v>325</v>
      </c>
      <c r="C30" s="22" t="s">
        <v>9</v>
      </c>
      <c r="D30" s="8">
        <v>1</v>
      </c>
      <c r="E30" s="21">
        <v>14.76</v>
      </c>
      <c r="F30" s="24">
        <f>D30*E30</f>
        <v>14.76</v>
      </c>
      <c r="G30" s="24"/>
      <c r="I30" s="21"/>
      <c r="J30" s="24"/>
    </row>
    <row r="31" spans="1:10" outlineLevel="1" x14ac:dyDescent="0.25">
      <c r="A31" s="31" t="s">
        <v>147</v>
      </c>
      <c r="B31" s="19" t="s">
        <v>133</v>
      </c>
      <c r="C31" s="4"/>
      <c r="D31" s="4"/>
      <c r="E31" s="6"/>
      <c r="F31" s="6"/>
      <c r="G31" s="6"/>
      <c r="I31" s="6"/>
      <c r="J31" s="6"/>
    </row>
    <row r="32" spans="1:10" outlineLevel="1" x14ac:dyDescent="0.25">
      <c r="A32" s="22" t="s">
        <v>339</v>
      </c>
      <c r="B32" s="27" t="s">
        <v>18</v>
      </c>
      <c r="C32" s="22" t="s">
        <v>19</v>
      </c>
      <c r="D32" s="8">
        <v>1</v>
      </c>
      <c r="E32" s="21">
        <v>100</v>
      </c>
      <c r="F32" s="24">
        <f>D32*E32</f>
        <v>100</v>
      </c>
      <c r="G32" s="24" t="s">
        <v>144</v>
      </c>
      <c r="I32" s="21"/>
      <c r="J32" s="24"/>
    </row>
    <row r="33" spans="1:10" ht="18.75" x14ac:dyDescent="0.25">
      <c r="A33" s="32" t="s">
        <v>146</v>
      </c>
      <c r="B33" s="2" t="s">
        <v>275</v>
      </c>
      <c r="C33" s="1"/>
      <c r="D33" s="1"/>
      <c r="E33" s="3"/>
      <c r="F33" s="3"/>
      <c r="G33" s="3"/>
      <c r="I33" s="3"/>
      <c r="J33" s="3"/>
    </row>
    <row r="34" spans="1:10" outlineLevel="1" x14ac:dyDescent="0.25">
      <c r="A34" s="31" t="s">
        <v>147</v>
      </c>
      <c r="B34" s="15" t="s">
        <v>46</v>
      </c>
      <c r="C34" s="12"/>
      <c r="D34" s="12"/>
      <c r="E34" s="12"/>
      <c r="F34" s="12"/>
      <c r="G34" s="12"/>
      <c r="I34" s="12"/>
      <c r="J34" s="12"/>
    </row>
    <row r="35" spans="1:10" ht="30" outlineLevel="1" x14ac:dyDescent="0.25">
      <c r="A35" s="28" t="s">
        <v>222</v>
      </c>
      <c r="B35" s="29" t="s">
        <v>127</v>
      </c>
      <c r="C35" s="28" t="s">
        <v>9</v>
      </c>
      <c r="D35" s="14">
        <v>1</v>
      </c>
      <c r="E35" s="23"/>
      <c r="F35" s="24">
        <f>D35*E35</f>
        <v>0</v>
      </c>
      <c r="G35" s="25"/>
      <c r="I35" s="23"/>
      <c r="J35" s="25"/>
    </row>
    <row r="36" spans="1:10" ht="30" outlineLevel="1" x14ac:dyDescent="0.25">
      <c r="A36" s="28" t="s">
        <v>223</v>
      </c>
      <c r="B36" s="29" t="s">
        <v>128</v>
      </c>
      <c r="C36" s="28" t="s">
        <v>9</v>
      </c>
      <c r="D36" s="14">
        <v>1</v>
      </c>
      <c r="E36" s="23">
        <v>63</v>
      </c>
      <c r="F36" s="24">
        <f>D36*E36</f>
        <v>63</v>
      </c>
      <c r="G36" s="25" t="s">
        <v>274</v>
      </c>
      <c r="I36" s="23"/>
      <c r="J36" s="25"/>
    </row>
    <row r="37" spans="1:10" ht="30" outlineLevel="1" x14ac:dyDescent="0.25">
      <c r="A37" s="28" t="s">
        <v>224</v>
      </c>
      <c r="B37" s="29" t="s">
        <v>129</v>
      </c>
      <c r="C37" s="28" t="s">
        <v>9</v>
      </c>
      <c r="D37" s="14">
        <v>1</v>
      </c>
      <c r="E37" s="23"/>
      <c r="F37" s="25">
        <f>D37*E37</f>
        <v>0</v>
      </c>
      <c r="G37" s="25"/>
      <c r="I37" s="23"/>
      <c r="J37" s="25"/>
    </row>
    <row r="38" spans="1:10" ht="30" outlineLevel="1" x14ac:dyDescent="0.25">
      <c r="A38" s="28" t="s">
        <v>225</v>
      </c>
      <c r="B38" s="29" t="s">
        <v>130</v>
      </c>
      <c r="C38" s="28" t="s">
        <v>9</v>
      </c>
      <c r="D38" s="14">
        <v>1</v>
      </c>
      <c r="E38" s="23"/>
      <c r="F38" s="25">
        <f>D38*E38</f>
        <v>0</v>
      </c>
      <c r="G38" s="25"/>
      <c r="I38" s="23"/>
      <c r="J38" s="25"/>
    </row>
    <row r="39" spans="1:10" outlineLevel="1" x14ac:dyDescent="0.25">
      <c r="A39" s="31" t="s">
        <v>147</v>
      </c>
      <c r="B39" s="15" t="s">
        <v>276</v>
      </c>
      <c r="C39" s="12"/>
      <c r="D39" s="12"/>
      <c r="E39" s="12"/>
      <c r="F39" s="12"/>
      <c r="G39" s="12"/>
      <c r="I39" s="12"/>
      <c r="J39" s="12"/>
    </row>
    <row r="40" spans="1:10" ht="30" outlineLevel="1" x14ac:dyDescent="0.25">
      <c r="A40" s="28" t="s">
        <v>285</v>
      </c>
      <c r="B40" s="29" t="s">
        <v>47</v>
      </c>
      <c r="C40" s="28" t="s">
        <v>9</v>
      </c>
      <c r="D40" s="14">
        <v>1</v>
      </c>
      <c r="E40" s="23">
        <v>21.1875</v>
      </c>
      <c r="F40" s="25">
        <f>D40*E40</f>
        <v>21.1875</v>
      </c>
      <c r="G40" s="24" t="s">
        <v>144</v>
      </c>
      <c r="I40" s="23"/>
      <c r="J40" s="24"/>
    </row>
    <row r="41" spans="1:10" outlineLevel="1" x14ac:dyDescent="0.25">
      <c r="A41" s="31" t="s">
        <v>147</v>
      </c>
      <c r="B41" s="15" t="s">
        <v>277</v>
      </c>
      <c r="C41" s="12"/>
      <c r="D41" s="12"/>
      <c r="E41" s="12"/>
      <c r="F41" s="12"/>
      <c r="G41" s="12"/>
      <c r="I41" s="12"/>
      <c r="J41" s="12"/>
    </row>
    <row r="42" spans="1:10" ht="30" outlineLevel="1" x14ac:dyDescent="0.25">
      <c r="A42" s="28" t="s">
        <v>286</v>
      </c>
      <c r="B42" s="29" t="s">
        <v>48</v>
      </c>
      <c r="C42" s="28" t="s">
        <v>9</v>
      </c>
      <c r="D42" s="14">
        <v>1</v>
      </c>
      <c r="E42" s="23"/>
      <c r="F42" s="25">
        <f t="shared" ref="F42:F49" si="3">D42*E42</f>
        <v>0</v>
      </c>
      <c r="G42" s="25"/>
      <c r="I42" s="23"/>
      <c r="J42" s="25"/>
    </row>
    <row r="43" spans="1:10" ht="30" outlineLevel="1" x14ac:dyDescent="0.25">
      <c r="A43" s="28" t="s">
        <v>287</v>
      </c>
      <c r="B43" s="29" t="s">
        <v>49</v>
      </c>
      <c r="C43" s="28" t="s">
        <v>9</v>
      </c>
      <c r="D43" s="14">
        <v>1</v>
      </c>
      <c r="E43" s="23"/>
      <c r="F43" s="25">
        <f t="shared" si="3"/>
        <v>0</v>
      </c>
      <c r="G43" s="25"/>
      <c r="I43" s="23"/>
      <c r="J43" s="25"/>
    </row>
    <row r="44" spans="1:10" ht="30" outlineLevel="1" x14ac:dyDescent="0.25">
      <c r="A44" s="28" t="s">
        <v>288</v>
      </c>
      <c r="B44" s="29" t="s">
        <v>50</v>
      </c>
      <c r="C44" s="28" t="s">
        <v>9</v>
      </c>
      <c r="D44" s="14">
        <v>1</v>
      </c>
      <c r="E44" s="23"/>
      <c r="F44" s="25">
        <f t="shared" si="3"/>
        <v>0</v>
      </c>
      <c r="G44" s="25"/>
      <c r="I44" s="23"/>
      <c r="J44" s="25"/>
    </row>
    <row r="45" spans="1:10" ht="30" outlineLevel="1" x14ac:dyDescent="0.25">
      <c r="A45" s="28" t="s">
        <v>289</v>
      </c>
      <c r="B45" s="29" t="s">
        <v>51</v>
      </c>
      <c r="C45" s="28" t="s">
        <v>9</v>
      </c>
      <c r="D45" s="14">
        <v>1</v>
      </c>
      <c r="E45" s="23"/>
      <c r="F45" s="25">
        <f t="shared" si="3"/>
        <v>0</v>
      </c>
      <c r="G45" s="25"/>
      <c r="I45" s="23"/>
      <c r="J45" s="25"/>
    </row>
    <row r="46" spans="1:10" ht="30" outlineLevel="1" x14ac:dyDescent="0.25">
      <c r="A46" s="28" t="s">
        <v>290</v>
      </c>
      <c r="B46" s="29" t="s">
        <v>52</v>
      </c>
      <c r="C46" s="28" t="s">
        <v>9</v>
      </c>
      <c r="D46" s="14">
        <v>1</v>
      </c>
      <c r="E46" s="23"/>
      <c r="F46" s="25">
        <f t="shared" si="3"/>
        <v>0</v>
      </c>
      <c r="G46" s="25"/>
      <c r="I46" s="23"/>
      <c r="J46" s="25"/>
    </row>
    <row r="47" spans="1:10" ht="30" outlineLevel="1" x14ac:dyDescent="0.25">
      <c r="A47" s="28" t="s">
        <v>291</v>
      </c>
      <c r="B47" s="29" t="s">
        <v>53</v>
      </c>
      <c r="C47" s="28" t="s">
        <v>9</v>
      </c>
      <c r="D47" s="14">
        <v>1</v>
      </c>
      <c r="E47" s="23">
        <v>50.05</v>
      </c>
      <c r="F47" s="25">
        <f t="shared" si="3"/>
        <v>50.05</v>
      </c>
      <c r="G47" s="24" t="s">
        <v>197</v>
      </c>
      <c r="I47" s="23"/>
      <c r="J47" s="25"/>
    </row>
    <row r="48" spans="1:10" ht="30" outlineLevel="1" x14ac:dyDescent="0.25">
      <c r="A48" s="28" t="s">
        <v>292</v>
      </c>
      <c r="B48" s="29" t="s">
        <v>54</v>
      </c>
      <c r="C48" s="28" t="s">
        <v>9</v>
      </c>
      <c r="D48" s="14">
        <v>1</v>
      </c>
      <c r="E48" s="23"/>
      <c r="F48" s="25">
        <f t="shared" si="3"/>
        <v>0</v>
      </c>
      <c r="G48" s="25"/>
      <c r="I48" s="23"/>
      <c r="J48" s="25"/>
    </row>
    <row r="49" spans="1:10" ht="30" outlineLevel="1" x14ac:dyDescent="0.25">
      <c r="A49" s="28" t="s">
        <v>293</v>
      </c>
      <c r="B49" s="29" t="s">
        <v>55</v>
      </c>
      <c r="C49" s="22" t="s">
        <v>9</v>
      </c>
      <c r="D49" s="14">
        <v>1</v>
      </c>
      <c r="E49" s="23"/>
      <c r="F49" s="25">
        <f t="shared" si="3"/>
        <v>0</v>
      </c>
      <c r="G49" s="25"/>
      <c r="I49" s="23"/>
      <c r="J49" s="25"/>
    </row>
    <row r="50" spans="1:10" outlineLevel="1" x14ac:dyDescent="0.25">
      <c r="A50" s="31" t="s">
        <v>147</v>
      </c>
      <c r="B50" s="15" t="s">
        <v>278</v>
      </c>
      <c r="C50" s="12"/>
      <c r="D50" s="12"/>
      <c r="E50" s="12"/>
      <c r="F50" s="12"/>
      <c r="G50" s="12"/>
      <c r="I50" s="12"/>
      <c r="J50" s="12"/>
    </row>
    <row r="51" spans="1:10" ht="30" outlineLevel="1" x14ac:dyDescent="0.25">
      <c r="A51" s="28" t="s">
        <v>294</v>
      </c>
      <c r="B51" s="29" t="s">
        <v>56</v>
      </c>
      <c r="C51" s="28" t="s">
        <v>9</v>
      </c>
      <c r="D51" s="14">
        <v>1</v>
      </c>
      <c r="E51" s="23">
        <v>61.1</v>
      </c>
      <c r="F51" s="25">
        <f t="shared" ref="F51:F58" si="4">D51*E51</f>
        <v>61.1</v>
      </c>
      <c r="G51" s="25" t="s">
        <v>230</v>
      </c>
      <c r="I51" s="23"/>
      <c r="J51" s="25"/>
    </row>
    <row r="52" spans="1:10" ht="30" outlineLevel="1" x14ac:dyDescent="0.25">
      <c r="A52" s="28" t="s">
        <v>295</v>
      </c>
      <c r="B52" s="29" t="s">
        <v>57</v>
      </c>
      <c r="C52" s="28" t="s">
        <v>9</v>
      </c>
      <c r="D52" s="14">
        <v>1</v>
      </c>
      <c r="E52" s="23">
        <v>70</v>
      </c>
      <c r="F52" s="25">
        <f t="shared" si="4"/>
        <v>70</v>
      </c>
      <c r="G52" s="24" t="s">
        <v>328</v>
      </c>
      <c r="I52" s="23">
        <v>93.9</v>
      </c>
      <c r="J52" s="24" t="s">
        <v>197</v>
      </c>
    </row>
    <row r="53" spans="1:10" ht="30" outlineLevel="1" x14ac:dyDescent="0.25">
      <c r="A53" s="28" t="s">
        <v>296</v>
      </c>
      <c r="B53" s="29" t="s">
        <v>58</v>
      </c>
      <c r="C53" s="28" t="s">
        <v>9</v>
      </c>
      <c r="D53" s="14">
        <v>1</v>
      </c>
      <c r="E53" s="23"/>
      <c r="F53" s="25">
        <f t="shared" si="4"/>
        <v>0</v>
      </c>
      <c r="G53" s="25"/>
      <c r="I53" s="23"/>
      <c r="J53" s="25"/>
    </row>
    <row r="54" spans="1:10" ht="30" outlineLevel="1" x14ac:dyDescent="0.25">
      <c r="A54" s="28" t="s">
        <v>297</v>
      </c>
      <c r="B54" s="29" t="s">
        <v>59</v>
      </c>
      <c r="C54" s="28" t="s">
        <v>9</v>
      </c>
      <c r="D54" s="14">
        <v>1</v>
      </c>
      <c r="E54" s="23"/>
      <c r="F54" s="25">
        <f t="shared" si="4"/>
        <v>0</v>
      </c>
      <c r="G54" s="25"/>
      <c r="I54" s="23"/>
      <c r="J54" s="25"/>
    </row>
    <row r="55" spans="1:10" ht="30" outlineLevel="1" x14ac:dyDescent="0.25">
      <c r="A55" s="28" t="s">
        <v>298</v>
      </c>
      <c r="B55" s="29" t="s">
        <v>60</v>
      </c>
      <c r="C55" s="28" t="s">
        <v>9</v>
      </c>
      <c r="D55" s="14">
        <v>1</v>
      </c>
      <c r="E55" s="23"/>
      <c r="F55" s="25">
        <f t="shared" si="4"/>
        <v>0</v>
      </c>
      <c r="G55" s="25"/>
      <c r="I55" s="23"/>
      <c r="J55" s="25"/>
    </row>
    <row r="56" spans="1:10" ht="30" outlineLevel="1" x14ac:dyDescent="0.25">
      <c r="A56" s="28" t="s">
        <v>299</v>
      </c>
      <c r="B56" s="29" t="s">
        <v>61</v>
      </c>
      <c r="C56" s="28" t="s">
        <v>9</v>
      </c>
      <c r="D56" s="14">
        <v>1</v>
      </c>
      <c r="E56" s="23"/>
      <c r="F56" s="25">
        <f t="shared" si="4"/>
        <v>0</v>
      </c>
      <c r="G56" s="25"/>
      <c r="I56" s="23"/>
      <c r="J56" s="25"/>
    </row>
    <row r="57" spans="1:10" ht="30" outlineLevel="1" x14ac:dyDescent="0.25">
      <c r="A57" s="28" t="s">
        <v>300</v>
      </c>
      <c r="B57" s="29" t="s">
        <v>62</v>
      </c>
      <c r="C57" s="28" t="s">
        <v>9</v>
      </c>
      <c r="D57" s="14">
        <v>1</v>
      </c>
      <c r="E57" s="23"/>
      <c r="F57" s="25">
        <f t="shared" si="4"/>
        <v>0</v>
      </c>
      <c r="G57" s="25"/>
      <c r="I57" s="23"/>
      <c r="J57" s="25"/>
    </row>
    <row r="58" spans="1:10" ht="30" outlineLevel="1" x14ac:dyDescent="0.25">
      <c r="A58" s="28" t="s">
        <v>301</v>
      </c>
      <c r="B58" s="29" t="s">
        <v>63</v>
      </c>
      <c r="C58" s="28" t="s">
        <v>9</v>
      </c>
      <c r="D58" s="14">
        <v>1</v>
      </c>
      <c r="E58" s="23"/>
      <c r="F58" s="25">
        <f t="shared" si="4"/>
        <v>0</v>
      </c>
      <c r="G58" s="25"/>
      <c r="I58" s="23"/>
      <c r="J58" s="25"/>
    </row>
    <row r="59" spans="1:10" outlineLevel="1" collapsed="1" x14ac:dyDescent="0.25">
      <c r="A59" s="31" t="s">
        <v>147</v>
      </c>
      <c r="B59" s="15" t="s">
        <v>279</v>
      </c>
      <c r="C59" s="12"/>
      <c r="D59" s="12"/>
      <c r="E59" s="12"/>
      <c r="F59" s="12"/>
      <c r="G59" s="12"/>
      <c r="I59" s="12"/>
      <c r="J59" s="12"/>
    </row>
    <row r="60" spans="1:10" ht="30" outlineLevel="1" x14ac:dyDescent="0.25">
      <c r="A60" s="28" t="s">
        <v>302</v>
      </c>
      <c r="B60" s="29" t="s">
        <v>64</v>
      </c>
      <c r="C60" s="28" t="s">
        <v>9</v>
      </c>
      <c r="D60" s="14">
        <v>1</v>
      </c>
      <c r="E60" s="23"/>
      <c r="F60" s="25">
        <f>D60*E60</f>
        <v>0</v>
      </c>
      <c r="G60" s="25"/>
      <c r="I60" s="23"/>
      <c r="J60" s="25"/>
    </row>
    <row r="61" spans="1:10" ht="30" outlineLevel="1" x14ac:dyDescent="0.25">
      <c r="A61" s="28" t="s">
        <v>303</v>
      </c>
      <c r="B61" s="29" t="s">
        <v>65</v>
      </c>
      <c r="C61" s="28" t="s">
        <v>9</v>
      </c>
      <c r="D61" s="14">
        <v>1</v>
      </c>
      <c r="E61" s="23"/>
      <c r="F61" s="25">
        <f>D61*E61</f>
        <v>0</v>
      </c>
      <c r="G61" s="25"/>
      <c r="I61" s="23"/>
      <c r="J61" s="25"/>
    </row>
    <row r="62" spans="1:10" ht="30" outlineLevel="1" x14ac:dyDescent="0.25">
      <c r="A62" s="28" t="s">
        <v>304</v>
      </c>
      <c r="B62" s="29" t="s">
        <v>66</v>
      </c>
      <c r="C62" s="28" t="s">
        <v>9</v>
      </c>
      <c r="D62" s="14">
        <v>1</v>
      </c>
      <c r="E62" s="23"/>
      <c r="F62" s="25">
        <f>D62*E62</f>
        <v>0</v>
      </c>
      <c r="G62" s="25"/>
      <c r="I62" s="23"/>
      <c r="J62" s="25"/>
    </row>
    <row r="63" spans="1:10" ht="30" outlineLevel="1" x14ac:dyDescent="0.25">
      <c r="A63" s="28" t="s">
        <v>305</v>
      </c>
      <c r="B63" s="29" t="s">
        <v>67</v>
      </c>
      <c r="C63" s="28" t="s">
        <v>9</v>
      </c>
      <c r="D63" s="14">
        <v>1</v>
      </c>
      <c r="E63" s="23"/>
      <c r="F63" s="25">
        <f>D63*E63</f>
        <v>0</v>
      </c>
      <c r="G63" s="25"/>
      <c r="I63" s="23"/>
      <c r="J63" s="25"/>
    </row>
    <row r="64" spans="1:10" outlineLevel="1" x14ac:dyDescent="0.25">
      <c r="A64" s="31" t="s">
        <v>147</v>
      </c>
      <c r="B64" s="15" t="s">
        <v>280</v>
      </c>
      <c r="C64" s="12"/>
      <c r="D64" s="12"/>
      <c r="E64" s="12"/>
      <c r="F64" s="12"/>
      <c r="G64" s="12"/>
      <c r="I64" s="12"/>
      <c r="J64" s="12"/>
    </row>
    <row r="65" spans="1:10" ht="30" outlineLevel="1" x14ac:dyDescent="0.25">
      <c r="A65" s="28" t="s">
        <v>306</v>
      </c>
      <c r="B65" s="29" t="s">
        <v>131</v>
      </c>
      <c r="C65" s="28" t="s">
        <v>9</v>
      </c>
      <c r="D65" s="14">
        <v>1</v>
      </c>
      <c r="E65" s="23"/>
      <c r="F65" s="25">
        <f t="shared" ref="F65:F71" si="5">D65*E65</f>
        <v>0</v>
      </c>
      <c r="G65" s="25"/>
      <c r="I65" s="23"/>
      <c r="J65" s="25"/>
    </row>
    <row r="66" spans="1:10" ht="30" outlineLevel="1" x14ac:dyDescent="0.25">
      <c r="A66" s="28" t="s">
        <v>307</v>
      </c>
      <c r="B66" s="35" t="s">
        <v>132</v>
      </c>
      <c r="C66" s="28" t="s">
        <v>9</v>
      </c>
      <c r="D66" s="14">
        <v>1</v>
      </c>
      <c r="E66" s="23">
        <v>67</v>
      </c>
      <c r="F66" s="25">
        <f t="shared" si="5"/>
        <v>67</v>
      </c>
      <c r="G66" s="25"/>
      <c r="I66" s="23"/>
      <c r="J66" s="25"/>
    </row>
    <row r="67" spans="1:10" ht="30" outlineLevel="1" x14ac:dyDescent="0.25">
      <c r="A67" s="28" t="s">
        <v>308</v>
      </c>
      <c r="B67" s="35" t="s">
        <v>337</v>
      </c>
      <c r="C67" s="28"/>
      <c r="D67" s="14"/>
      <c r="E67" s="23"/>
      <c r="F67" s="25"/>
      <c r="G67" s="25"/>
      <c r="I67" s="23"/>
      <c r="J67" s="25"/>
    </row>
    <row r="68" spans="1:10" ht="30" outlineLevel="1" x14ac:dyDescent="0.25">
      <c r="A68" s="28" t="s">
        <v>309</v>
      </c>
      <c r="B68" s="29" t="s">
        <v>68</v>
      </c>
      <c r="C68" s="28" t="s">
        <v>9</v>
      </c>
      <c r="D68" s="14">
        <v>1</v>
      </c>
      <c r="E68" s="23"/>
      <c r="F68" s="25">
        <f t="shared" si="5"/>
        <v>0</v>
      </c>
      <c r="G68" s="25"/>
      <c r="I68" s="23"/>
      <c r="J68" s="25"/>
    </row>
    <row r="69" spans="1:10" ht="30" outlineLevel="1" x14ac:dyDescent="0.25">
      <c r="A69" s="28" t="s">
        <v>310</v>
      </c>
      <c r="B69" s="29" t="s">
        <v>69</v>
      </c>
      <c r="C69" s="28" t="s">
        <v>9</v>
      </c>
      <c r="D69" s="14">
        <v>1</v>
      </c>
      <c r="E69" s="23"/>
      <c r="F69" s="25">
        <f t="shared" si="5"/>
        <v>0</v>
      </c>
      <c r="G69" s="25"/>
      <c r="I69" s="23"/>
      <c r="J69" s="25"/>
    </row>
    <row r="70" spans="1:10" ht="30" outlineLevel="1" x14ac:dyDescent="0.25">
      <c r="A70" s="28" t="s">
        <v>311</v>
      </c>
      <c r="B70" s="29" t="s">
        <v>70</v>
      </c>
      <c r="C70" s="28" t="s">
        <v>9</v>
      </c>
      <c r="D70" s="14">
        <v>1</v>
      </c>
      <c r="E70" s="23">
        <v>55.949999999999996</v>
      </c>
      <c r="F70" s="25">
        <f t="shared" si="5"/>
        <v>55.949999999999996</v>
      </c>
      <c r="G70" s="24" t="s">
        <v>144</v>
      </c>
      <c r="I70" s="23"/>
      <c r="J70" s="24"/>
    </row>
    <row r="71" spans="1:10" ht="30" outlineLevel="1" x14ac:dyDescent="0.25">
      <c r="A71" s="28" t="s">
        <v>312</v>
      </c>
      <c r="B71" s="29" t="s">
        <v>71</v>
      </c>
      <c r="C71" s="22" t="s">
        <v>9</v>
      </c>
      <c r="D71" s="14">
        <v>1</v>
      </c>
      <c r="E71" s="23">
        <v>60.0625</v>
      </c>
      <c r="F71" s="25">
        <f t="shared" si="5"/>
        <v>60.0625</v>
      </c>
      <c r="G71" s="24" t="s">
        <v>144</v>
      </c>
      <c r="I71" s="23"/>
      <c r="J71" s="24"/>
    </row>
    <row r="72" spans="1:10" ht="30" outlineLevel="1" x14ac:dyDescent="0.25">
      <c r="A72" s="28" t="s">
        <v>313</v>
      </c>
      <c r="B72" s="29" t="s">
        <v>72</v>
      </c>
      <c r="C72" s="22" t="s">
        <v>9</v>
      </c>
      <c r="D72" s="14">
        <v>1</v>
      </c>
      <c r="E72" s="23"/>
      <c r="F72" s="24">
        <f t="shared" ref="F72:F76" si="6">D72*E72</f>
        <v>0</v>
      </c>
      <c r="G72" s="25"/>
      <c r="I72" s="23"/>
      <c r="J72" s="25"/>
    </row>
    <row r="73" spans="1:10" ht="30" outlineLevel="1" x14ac:dyDescent="0.25">
      <c r="A73" s="28" t="s">
        <v>314</v>
      </c>
      <c r="B73" s="29" t="s">
        <v>73</v>
      </c>
      <c r="C73" s="22" t="s">
        <v>9</v>
      </c>
      <c r="D73" s="14">
        <v>1</v>
      </c>
      <c r="E73" s="23"/>
      <c r="F73" s="24">
        <f t="shared" si="6"/>
        <v>0</v>
      </c>
      <c r="G73" s="25"/>
      <c r="I73" s="23"/>
      <c r="J73" s="25"/>
    </row>
    <row r="74" spans="1:10" ht="30" outlineLevel="1" x14ac:dyDescent="0.25">
      <c r="A74" s="28" t="s">
        <v>315</v>
      </c>
      <c r="B74" s="29" t="s">
        <v>74</v>
      </c>
      <c r="C74" s="22" t="s">
        <v>9</v>
      </c>
      <c r="D74" s="14">
        <v>1</v>
      </c>
      <c r="E74" s="23"/>
      <c r="F74" s="24">
        <f t="shared" si="6"/>
        <v>0</v>
      </c>
      <c r="G74" s="25"/>
      <c r="I74" s="23"/>
      <c r="J74" s="25"/>
    </row>
    <row r="75" spans="1:10" ht="30" outlineLevel="1" x14ac:dyDescent="0.25">
      <c r="A75" s="28" t="s">
        <v>316</v>
      </c>
      <c r="B75" s="29" t="s">
        <v>75</v>
      </c>
      <c r="C75" s="22" t="s">
        <v>9</v>
      </c>
      <c r="D75" s="14">
        <v>1</v>
      </c>
      <c r="E75" s="23"/>
      <c r="F75" s="24">
        <f t="shared" si="6"/>
        <v>0</v>
      </c>
      <c r="G75" s="25"/>
      <c r="I75" s="23"/>
      <c r="J75" s="25"/>
    </row>
    <row r="76" spans="1:10" ht="30" outlineLevel="1" x14ac:dyDescent="0.25">
      <c r="A76" s="28" t="s">
        <v>317</v>
      </c>
      <c r="B76" s="29" t="s">
        <v>76</v>
      </c>
      <c r="C76" s="22" t="s">
        <v>9</v>
      </c>
      <c r="D76" s="14">
        <v>1</v>
      </c>
      <c r="E76" s="23"/>
      <c r="F76" s="24">
        <f t="shared" si="6"/>
        <v>0</v>
      </c>
      <c r="G76" s="25"/>
      <c r="I76" s="23"/>
      <c r="J76" s="25"/>
    </row>
    <row r="77" spans="1:10" outlineLevel="1" x14ac:dyDescent="0.25">
      <c r="A77" s="31" t="s">
        <v>147</v>
      </c>
      <c r="B77" s="13" t="s">
        <v>97</v>
      </c>
      <c r="C77" s="12"/>
      <c r="D77" s="12"/>
      <c r="E77" s="12"/>
      <c r="F77" s="12"/>
      <c r="G77" s="12"/>
      <c r="I77" s="12"/>
      <c r="J77" s="12"/>
    </row>
    <row r="78" spans="1:10" ht="30" outlineLevel="1" x14ac:dyDescent="0.25">
      <c r="A78" s="28" t="s">
        <v>318</v>
      </c>
      <c r="B78" s="29" t="s">
        <v>98</v>
      </c>
      <c r="C78" s="28" t="s">
        <v>9</v>
      </c>
      <c r="D78" s="14">
        <v>1</v>
      </c>
      <c r="E78" s="18"/>
      <c r="F78" s="24">
        <f t="shared" ref="F78:F84" si="7">D78*E78</f>
        <v>0</v>
      </c>
      <c r="G78" s="16"/>
      <c r="I78" s="18"/>
      <c r="J78" s="16"/>
    </row>
    <row r="79" spans="1:10" outlineLevel="1" x14ac:dyDescent="0.25">
      <c r="A79" s="28" t="s">
        <v>319</v>
      </c>
      <c r="B79" s="29" t="s">
        <v>99</v>
      </c>
      <c r="C79" s="28" t="s">
        <v>9</v>
      </c>
      <c r="D79" s="14">
        <v>1</v>
      </c>
      <c r="E79" s="23"/>
      <c r="F79" s="24">
        <f t="shared" si="7"/>
        <v>0</v>
      </c>
      <c r="G79" s="24"/>
      <c r="I79" s="23"/>
      <c r="J79" s="24"/>
    </row>
    <row r="80" spans="1:10" outlineLevel="1" x14ac:dyDescent="0.25">
      <c r="A80" s="28" t="s">
        <v>320</v>
      </c>
      <c r="B80" s="29" t="s">
        <v>79</v>
      </c>
      <c r="C80" s="28" t="s">
        <v>9</v>
      </c>
      <c r="D80" s="14">
        <v>1</v>
      </c>
      <c r="E80" s="21">
        <v>80.569999999999993</v>
      </c>
      <c r="F80" s="24">
        <f t="shared" si="7"/>
        <v>80.569999999999993</v>
      </c>
      <c r="G80" s="24" t="s">
        <v>144</v>
      </c>
      <c r="I80" s="21"/>
      <c r="J80" s="24"/>
    </row>
    <row r="81" spans="1:10" outlineLevel="1" x14ac:dyDescent="0.25">
      <c r="A81" s="28" t="s">
        <v>321</v>
      </c>
      <c r="B81" s="29" t="s">
        <v>333</v>
      </c>
      <c r="C81" s="28" t="s">
        <v>12</v>
      </c>
      <c r="D81" s="14">
        <v>1</v>
      </c>
      <c r="E81" s="21">
        <v>160</v>
      </c>
      <c r="F81" s="24">
        <f t="shared" si="7"/>
        <v>160</v>
      </c>
      <c r="G81" s="24" t="s">
        <v>274</v>
      </c>
      <c r="I81" s="21"/>
      <c r="J81" s="24"/>
    </row>
    <row r="82" spans="1:10" ht="30" outlineLevel="1" x14ac:dyDescent="0.25">
      <c r="A82" s="28" t="s">
        <v>329</v>
      </c>
      <c r="B82" s="29" t="s">
        <v>330</v>
      </c>
      <c r="C82" s="28" t="s">
        <v>9</v>
      </c>
      <c r="D82" s="14">
        <v>1</v>
      </c>
      <c r="E82" s="23">
        <v>23</v>
      </c>
      <c r="F82" s="24">
        <f t="shared" si="7"/>
        <v>23</v>
      </c>
      <c r="G82" s="24" t="s">
        <v>274</v>
      </c>
      <c r="I82" s="23">
        <v>175.5</v>
      </c>
      <c r="J82" s="24" t="s">
        <v>331</v>
      </c>
    </row>
    <row r="83" spans="1:10" ht="30" outlineLevel="1" x14ac:dyDescent="0.25">
      <c r="A83" s="28" t="s">
        <v>340</v>
      </c>
      <c r="B83" s="29" t="s">
        <v>100</v>
      </c>
      <c r="C83" s="28" t="s">
        <v>9</v>
      </c>
      <c r="D83" s="14">
        <v>1</v>
      </c>
      <c r="E83" s="23"/>
      <c r="F83" s="24">
        <f t="shared" si="7"/>
        <v>0</v>
      </c>
      <c r="G83" s="24"/>
      <c r="I83" s="23"/>
      <c r="J83" s="24"/>
    </row>
    <row r="84" spans="1:10" ht="45" outlineLevel="1" x14ac:dyDescent="0.25">
      <c r="A84" s="28" t="s">
        <v>341</v>
      </c>
      <c r="B84" s="29" t="s">
        <v>332</v>
      </c>
      <c r="C84" s="28" t="s">
        <v>9</v>
      </c>
      <c r="D84" s="14">
        <v>1</v>
      </c>
      <c r="E84" s="23">
        <v>75</v>
      </c>
      <c r="F84" s="24">
        <f t="shared" si="7"/>
        <v>75</v>
      </c>
      <c r="G84" s="24" t="s">
        <v>328</v>
      </c>
      <c r="I84" s="23"/>
      <c r="J84" s="24"/>
    </row>
    <row r="85" spans="1:10" outlineLevel="1" x14ac:dyDescent="0.25">
      <c r="A85" s="31" t="s">
        <v>147</v>
      </c>
      <c r="B85" s="5" t="s">
        <v>20</v>
      </c>
      <c r="C85" s="4"/>
      <c r="D85" s="4"/>
      <c r="E85" s="4"/>
      <c r="F85" s="6"/>
      <c r="G85" s="6"/>
      <c r="I85" s="4"/>
      <c r="J85" s="6"/>
    </row>
    <row r="86" spans="1:10" outlineLevel="1" x14ac:dyDescent="0.25">
      <c r="A86" s="22" t="s">
        <v>342</v>
      </c>
      <c r="B86" s="27" t="s">
        <v>77</v>
      </c>
      <c r="C86" s="22" t="s">
        <v>9</v>
      </c>
      <c r="D86" s="14">
        <v>1</v>
      </c>
      <c r="E86" s="21"/>
      <c r="F86" s="24">
        <f>D86*E86</f>
        <v>0</v>
      </c>
      <c r="G86" s="24"/>
      <c r="I86" s="21"/>
      <c r="J86" s="24"/>
    </row>
    <row r="87" spans="1:10" outlineLevel="1" x14ac:dyDescent="0.25">
      <c r="A87" s="22" t="s">
        <v>343</v>
      </c>
      <c r="B87" s="27" t="s">
        <v>78</v>
      </c>
      <c r="C87" s="22" t="s">
        <v>9</v>
      </c>
      <c r="D87" s="14">
        <v>1</v>
      </c>
      <c r="E87" s="21"/>
      <c r="F87" s="24">
        <f t="shared" ref="F87" si="8">D87*E87</f>
        <v>0</v>
      </c>
      <c r="G87" s="24"/>
      <c r="I87" s="21"/>
      <c r="J87" s="24"/>
    </row>
    <row r="88" spans="1:10" outlineLevel="1" x14ac:dyDescent="0.25">
      <c r="A88" s="31" t="s">
        <v>147</v>
      </c>
      <c r="B88" s="19" t="s">
        <v>322</v>
      </c>
      <c r="C88" s="4"/>
      <c r="D88" s="4"/>
      <c r="E88" s="6"/>
      <c r="F88" s="6"/>
      <c r="G88" s="6"/>
      <c r="I88" s="6"/>
      <c r="J88" s="6"/>
    </row>
    <row r="89" spans="1:10" outlineLevel="1" x14ac:dyDescent="0.25">
      <c r="A89" s="22" t="s">
        <v>344</v>
      </c>
      <c r="B89" s="27"/>
      <c r="C89" s="22"/>
      <c r="D89" s="8"/>
      <c r="E89" s="21"/>
      <c r="F89" s="24">
        <f t="shared" ref="F89:F91" si="9">D89*E89</f>
        <v>0</v>
      </c>
      <c r="G89" s="24"/>
      <c r="I89" s="21"/>
      <c r="J89" s="24"/>
    </row>
    <row r="90" spans="1:10" outlineLevel="1" x14ac:dyDescent="0.25">
      <c r="A90" s="22" t="s">
        <v>345</v>
      </c>
      <c r="B90" s="27"/>
      <c r="C90" s="22"/>
      <c r="D90" s="8"/>
      <c r="E90" s="21"/>
      <c r="F90" s="24">
        <f t="shared" si="9"/>
        <v>0</v>
      </c>
      <c r="G90" s="24"/>
      <c r="I90" s="21"/>
      <c r="J90" s="24"/>
    </row>
    <row r="91" spans="1:10" outlineLevel="1" x14ac:dyDescent="0.25">
      <c r="A91" s="22" t="s">
        <v>346</v>
      </c>
      <c r="B91" s="27"/>
      <c r="C91" s="22"/>
      <c r="D91" s="8"/>
      <c r="E91" s="21"/>
      <c r="F91" s="24">
        <f t="shared" si="9"/>
        <v>0</v>
      </c>
      <c r="G91" s="24"/>
      <c r="I91" s="21"/>
      <c r="J91" s="24"/>
    </row>
    <row r="92" spans="1:10" ht="18.75" x14ac:dyDescent="0.25">
      <c r="A92" s="32" t="s">
        <v>146</v>
      </c>
      <c r="B92" s="2" t="s">
        <v>209</v>
      </c>
      <c r="C92" s="1"/>
      <c r="D92" s="1"/>
      <c r="E92" s="3"/>
      <c r="F92" s="3"/>
      <c r="G92" s="3"/>
      <c r="I92" s="3"/>
      <c r="J92" s="3"/>
    </row>
    <row r="93" spans="1:10" outlineLevel="1" x14ac:dyDescent="0.25">
      <c r="A93" s="31" t="s">
        <v>147</v>
      </c>
      <c r="B93" s="5" t="s">
        <v>21</v>
      </c>
      <c r="C93" s="4"/>
      <c r="D93" s="4"/>
      <c r="E93" s="6"/>
      <c r="F93" s="6"/>
      <c r="G93" s="6"/>
      <c r="I93" s="6"/>
      <c r="J93" s="6"/>
    </row>
    <row r="94" spans="1:10" outlineLevel="1" x14ac:dyDescent="0.25">
      <c r="A94" s="22" t="s">
        <v>234</v>
      </c>
      <c r="B94" s="27" t="s">
        <v>141</v>
      </c>
      <c r="C94" s="22" t="s">
        <v>9</v>
      </c>
      <c r="D94" s="14">
        <v>1</v>
      </c>
      <c r="E94" s="21">
        <v>115</v>
      </c>
      <c r="F94" s="24">
        <f t="shared" ref="F94:F100" si="10">D94*E94</f>
        <v>115</v>
      </c>
      <c r="G94" s="24" t="s">
        <v>233</v>
      </c>
      <c r="I94" s="21"/>
      <c r="J94" s="24"/>
    </row>
    <row r="95" spans="1:10" outlineLevel="1" x14ac:dyDescent="0.25">
      <c r="A95" s="22" t="s">
        <v>235</v>
      </c>
      <c r="B95" s="27" t="s">
        <v>142</v>
      </c>
      <c r="C95" s="22" t="s">
        <v>9</v>
      </c>
      <c r="D95" s="14">
        <v>1</v>
      </c>
      <c r="E95" s="21">
        <v>182</v>
      </c>
      <c r="F95" s="24">
        <f t="shared" si="10"/>
        <v>182</v>
      </c>
      <c r="G95" s="24" t="s">
        <v>230</v>
      </c>
      <c r="I95" s="21">
        <v>220</v>
      </c>
      <c r="J95" s="24" t="s">
        <v>138</v>
      </c>
    </row>
    <row r="96" spans="1:10" outlineLevel="1" x14ac:dyDescent="0.25">
      <c r="A96" s="22" t="s">
        <v>236</v>
      </c>
      <c r="B96" s="27" t="s">
        <v>22</v>
      </c>
      <c r="C96" s="22" t="s">
        <v>9</v>
      </c>
      <c r="D96" s="14">
        <v>1</v>
      </c>
      <c r="E96" s="21"/>
      <c r="F96" s="24">
        <f t="shared" si="10"/>
        <v>0</v>
      </c>
      <c r="G96" s="24"/>
      <c r="I96" s="21"/>
      <c r="J96" s="24"/>
    </row>
    <row r="97" spans="1:10" ht="30" outlineLevel="1" x14ac:dyDescent="0.25">
      <c r="A97" s="22" t="s">
        <v>237</v>
      </c>
      <c r="B97" s="27" t="s">
        <v>139</v>
      </c>
      <c r="C97" s="22" t="s">
        <v>15</v>
      </c>
      <c r="D97" s="8">
        <v>1</v>
      </c>
      <c r="E97" s="20">
        <v>685</v>
      </c>
      <c r="F97" s="24">
        <f t="shared" si="10"/>
        <v>685</v>
      </c>
      <c r="G97" s="24" t="s">
        <v>233</v>
      </c>
      <c r="I97" s="20"/>
      <c r="J97" s="24"/>
    </row>
    <row r="98" spans="1:10" ht="30" outlineLevel="1" x14ac:dyDescent="0.25">
      <c r="A98" s="22" t="s">
        <v>238</v>
      </c>
      <c r="B98" s="27" t="s">
        <v>140</v>
      </c>
      <c r="C98" s="22" t="s">
        <v>15</v>
      </c>
      <c r="D98" s="8">
        <v>1</v>
      </c>
      <c r="E98" s="26">
        <v>965</v>
      </c>
      <c r="F98" s="24">
        <f t="shared" si="10"/>
        <v>965</v>
      </c>
      <c r="G98" s="30" t="s">
        <v>145</v>
      </c>
      <c r="I98" s="26"/>
      <c r="J98" s="30"/>
    </row>
    <row r="99" spans="1:10" ht="30" outlineLevel="1" x14ac:dyDescent="0.25">
      <c r="A99" s="22" t="s">
        <v>239</v>
      </c>
      <c r="B99" s="27" t="s">
        <v>143</v>
      </c>
      <c r="C99" s="22" t="s">
        <v>15</v>
      </c>
      <c r="D99" s="8">
        <v>1</v>
      </c>
      <c r="E99" s="20">
        <v>1185</v>
      </c>
      <c r="F99" s="24">
        <f t="shared" si="10"/>
        <v>1185</v>
      </c>
      <c r="G99" s="24" t="s">
        <v>233</v>
      </c>
      <c r="I99" s="20"/>
      <c r="J99" s="24"/>
    </row>
    <row r="100" spans="1:10" outlineLevel="1" x14ac:dyDescent="0.25">
      <c r="A100" s="22" t="s">
        <v>240</v>
      </c>
      <c r="B100" s="27" t="s">
        <v>80</v>
      </c>
      <c r="C100" s="22" t="s">
        <v>9</v>
      </c>
      <c r="D100" s="14">
        <v>1</v>
      </c>
      <c r="E100" s="21"/>
      <c r="F100" s="24">
        <f t="shared" si="10"/>
        <v>0</v>
      </c>
      <c r="G100" s="24"/>
      <c r="I100" s="21"/>
      <c r="J100" s="24"/>
    </row>
    <row r="101" spans="1:10" outlineLevel="1" x14ac:dyDescent="0.25">
      <c r="A101" s="31" t="s">
        <v>147</v>
      </c>
      <c r="B101" s="19" t="s">
        <v>281</v>
      </c>
      <c r="C101" s="4"/>
      <c r="D101" s="4"/>
      <c r="E101" s="6"/>
      <c r="F101" s="6"/>
      <c r="G101" s="6"/>
      <c r="I101" s="6"/>
      <c r="J101" s="6"/>
    </row>
    <row r="102" spans="1:10" outlineLevel="1" x14ac:dyDescent="0.25">
      <c r="A102" s="22" t="s">
        <v>253</v>
      </c>
      <c r="B102" s="27" t="s">
        <v>227</v>
      </c>
      <c r="C102" s="22" t="s">
        <v>9</v>
      </c>
      <c r="D102" s="8"/>
      <c r="E102" s="21">
        <v>58.5</v>
      </c>
      <c r="F102" s="24">
        <f t="shared" ref="F102:F104" si="11">D102*E102</f>
        <v>0</v>
      </c>
      <c r="G102" s="24" t="s">
        <v>197</v>
      </c>
      <c r="I102" s="21"/>
      <c r="J102" s="24"/>
    </row>
    <row r="103" spans="1:10" outlineLevel="1" x14ac:dyDescent="0.25">
      <c r="A103" s="22" t="s">
        <v>254</v>
      </c>
      <c r="B103" s="27" t="s">
        <v>229</v>
      </c>
      <c r="C103" s="34" t="s">
        <v>12</v>
      </c>
      <c r="D103" s="8"/>
      <c r="E103" s="21">
        <v>100</v>
      </c>
      <c r="F103" s="24">
        <f t="shared" si="11"/>
        <v>0</v>
      </c>
      <c r="G103" s="24" t="s">
        <v>197</v>
      </c>
      <c r="I103" s="21"/>
      <c r="J103" s="24"/>
    </row>
    <row r="104" spans="1:10" outlineLevel="1" x14ac:dyDescent="0.25">
      <c r="A104" s="22" t="s">
        <v>255</v>
      </c>
      <c r="B104" s="27"/>
      <c r="C104" s="22"/>
      <c r="D104" s="8"/>
      <c r="E104" s="21"/>
      <c r="F104" s="24">
        <f t="shared" si="11"/>
        <v>0</v>
      </c>
      <c r="G104" s="24"/>
      <c r="I104" s="21"/>
      <c r="J104" s="24"/>
    </row>
    <row r="105" spans="1:10" outlineLevel="1" x14ac:dyDescent="0.25">
      <c r="A105" s="31" t="s">
        <v>147</v>
      </c>
      <c r="B105" s="5" t="s">
        <v>23</v>
      </c>
      <c r="C105" s="4"/>
      <c r="D105" s="4"/>
      <c r="E105" s="6"/>
      <c r="F105" s="6"/>
      <c r="G105" s="6"/>
      <c r="I105" s="6"/>
      <c r="J105" s="6"/>
    </row>
    <row r="106" spans="1:10" outlineLevel="1" x14ac:dyDescent="0.25">
      <c r="A106" s="22" t="s">
        <v>241</v>
      </c>
      <c r="B106" s="27" t="s">
        <v>85</v>
      </c>
      <c r="C106" s="22" t="s">
        <v>15</v>
      </c>
      <c r="D106" s="8">
        <v>1</v>
      </c>
      <c r="E106" s="21">
        <v>690</v>
      </c>
      <c r="F106" s="24">
        <f t="shared" ref="F106:F109" si="12">D106*E106</f>
        <v>690</v>
      </c>
      <c r="G106" s="24" t="s">
        <v>144</v>
      </c>
      <c r="I106" s="21"/>
      <c r="J106" s="24"/>
    </row>
    <row r="107" spans="1:10" outlineLevel="1" x14ac:dyDescent="0.25">
      <c r="A107" s="22" t="s">
        <v>242</v>
      </c>
      <c r="B107" s="27" t="s">
        <v>86</v>
      </c>
      <c r="C107" s="22" t="s">
        <v>15</v>
      </c>
      <c r="D107" s="8">
        <v>1</v>
      </c>
      <c r="E107" s="21"/>
      <c r="F107" s="24">
        <f t="shared" si="12"/>
        <v>0</v>
      </c>
      <c r="G107" s="24"/>
      <c r="I107" s="21"/>
      <c r="J107" s="24"/>
    </row>
    <row r="108" spans="1:10" outlineLevel="1" x14ac:dyDescent="0.25">
      <c r="A108" s="22" t="s">
        <v>243</v>
      </c>
      <c r="B108" s="27" t="s">
        <v>89</v>
      </c>
      <c r="C108" s="22" t="s">
        <v>15</v>
      </c>
      <c r="D108" s="8">
        <v>1</v>
      </c>
      <c r="E108" s="21"/>
      <c r="F108" s="24">
        <f t="shared" si="12"/>
        <v>0</v>
      </c>
      <c r="G108" s="24"/>
      <c r="I108" s="21"/>
      <c r="J108" s="24"/>
    </row>
    <row r="109" spans="1:10" outlineLevel="1" x14ac:dyDescent="0.25">
      <c r="A109" s="22" t="s">
        <v>244</v>
      </c>
      <c r="B109" s="27" t="s">
        <v>90</v>
      </c>
      <c r="C109" s="22" t="s">
        <v>15</v>
      </c>
      <c r="D109" s="8">
        <v>1</v>
      </c>
      <c r="E109" s="21"/>
      <c r="F109" s="24">
        <f t="shared" si="12"/>
        <v>0</v>
      </c>
      <c r="G109" s="24"/>
      <c r="I109" s="21"/>
      <c r="J109" s="24"/>
    </row>
    <row r="110" spans="1:10" outlineLevel="1" x14ac:dyDescent="0.25">
      <c r="A110" s="22" t="s">
        <v>245</v>
      </c>
      <c r="B110" s="27" t="s">
        <v>91</v>
      </c>
      <c r="C110" s="22" t="s">
        <v>15</v>
      </c>
      <c r="D110" s="8">
        <v>1</v>
      </c>
      <c r="E110" s="21">
        <v>774</v>
      </c>
      <c r="F110" s="24">
        <f>D110*E110</f>
        <v>774</v>
      </c>
      <c r="G110" s="24" t="s">
        <v>144</v>
      </c>
      <c r="I110" s="21"/>
      <c r="J110" s="24"/>
    </row>
    <row r="111" spans="1:10" outlineLevel="1" x14ac:dyDescent="0.25">
      <c r="A111" s="22" t="s">
        <v>246</v>
      </c>
      <c r="B111" s="27" t="s">
        <v>92</v>
      </c>
      <c r="C111" s="22" t="s">
        <v>15</v>
      </c>
      <c r="D111" s="8">
        <v>1</v>
      </c>
      <c r="E111" s="21"/>
      <c r="F111" s="24"/>
      <c r="G111" s="24"/>
      <c r="I111" s="21"/>
      <c r="J111" s="24"/>
    </row>
    <row r="112" spans="1:10" ht="30" outlineLevel="1" x14ac:dyDescent="0.25">
      <c r="A112" s="22" t="s">
        <v>247</v>
      </c>
      <c r="B112" s="27" t="s">
        <v>232</v>
      </c>
      <c r="C112" s="22" t="s">
        <v>15</v>
      </c>
      <c r="D112" s="8">
        <v>1</v>
      </c>
      <c r="E112" s="21">
        <v>552.5</v>
      </c>
      <c r="F112" s="24">
        <f t="shared" ref="F112:F117" si="13">D112*E112</f>
        <v>552.5</v>
      </c>
      <c r="G112" s="24" t="s">
        <v>230</v>
      </c>
      <c r="I112" s="21"/>
      <c r="J112" s="24"/>
    </row>
    <row r="113" spans="1:10" ht="30" outlineLevel="1" x14ac:dyDescent="0.25">
      <c r="A113" s="22" t="s">
        <v>248</v>
      </c>
      <c r="B113" s="27" t="s">
        <v>205</v>
      </c>
      <c r="C113" s="22" t="s">
        <v>15</v>
      </c>
      <c r="D113" s="8">
        <v>1</v>
      </c>
      <c r="E113" s="21">
        <v>552.5</v>
      </c>
      <c r="F113" s="24">
        <f t="shared" si="13"/>
        <v>552.5</v>
      </c>
      <c r="G113" s="24" t="s">
        <v>197</v>
      </c>
      <c r="I113" s="21"/>
      <c r="J113" s="24"/>
    </row>
    <row r="114" spans="1:10" ht="30" outlineLevel="1" x14ac:dyDescent="0.25">
      <c r="A114" s="22" t="s">
        <v>249</v>
      </c>
      <c r="B114" s="27" t="s">
        <v>203</v>
      </c>
      <c r="C114" s="22" t="s">
        <v>15</v>
      </c>
      <c r="D114" s="8">
        <v>1</v>
      </c>
      <c r="E114" s="21">
        <v>1170</v>
      </c>
      <c r="F114" s="24">
        <f t="shared" si="13"/>
        <v>1170</v>
      </c>
      <c r="G114" s="24" t="s">
        <v>197</v>
      </c>
      <c r="I114" s="21"/>
      <c r="J114" s="24"/>
    </row>
    <row r="115" spans="1:10" ht="45" outlineLevel="1" x14ac:dyDescent="0.25">
      <c r="A115" s="22" t="s">
        <v>250</v>
      </c>
      <c r="B115" s="27" t="s">
        <v>204</v>
      </c>
      <c r="C115" s="22" t="s">
        <v>15</v>
      </c>
      <c r="D115" s="8">
        <v>1</v>
      </c>
      <c r="E115" s="21">
        <v>1430</v>
      </c>
      <c r="F115" s="24">
        <f t="shared" si="13"/>
        <v>1430</v>
      </c>
      <c r="G115" s="24" t="s">
        <v>197</v>
      </c>
      <c r="I115" s="21"/>
      <c r="J115" s="24"/>
    </row>
    <row r="116" spans="1:10" outlineLevel="1" x14ac:dyDescent="0.25">
      <c r="A116" s="22" t="s">
        <v>251</v>
      </c>
      <c r="B116" s="27" t="s">
        <v>87</v>
      </c>
      <c r="C116" s="22" t="s">
        <v>15</v>
      </c>
      <c r="D116" s="8">
        <v>1</v>
      </c>
      <c r="E116" s="21"/>
      <c r="F116" s="24">
        <f t="shared" si="13"/>
        <v>0</v>
      </c>
      <c r="G116" s="24"/>
      <c r="I116" s="21"/>
      <c r="J116" s="24"/>
    </row>
    <row r="117" spans="1:10" outlineLevel="1" x14ac:dyDescent="0.25">
      <c r="A117" s="22" t="s">
        <v>252</v>
      </c>
      <c r="B117" s="27" t="s">
        <v>88</v>
      </c>
      <c r="C117" s="22" t="s">
        <v>15</v>
      </c>
      <c r="D117" s="8">
        <v>1</v>
      </c>
      <c r="E117" s="21"/>
      <c r="F117" s="24">
        <f t="shared" si="13"/>
        <v>0</v>
      </c>
      <c r="G117" s="24"/>
      <c r="I117" s="21"/>
      <c r="J117" s="24"/>
    </row>
    <row r="118" spans="1:10" ht="18.75" x14ac:dyDescent="0.25">
      <c r="A118" s="32" t="s">
        <v>146</v>
      </c>
      <c r="B118" s="2" t="s">
        <v>24</v>
      </c>
      <c r="C118" s="1"/>
      <c r="D118" s="1"/>
      <c r="E118" s="3"/>
      <c r="F118" s="3"/>
      <c r="G118" s="3"/>
      <c r="I118" s="3"/>
      <c r="J118" s="3"/>
    </row>
    <row r="119" spans="1:10" outlineLevel="1" x14ac:dyDescent="0.25">
      <c r="A119" s="31" t="s">
        <v>147</v>
      </c>
      <c r="B119" s="19" t="s">
        <v>256</v>
      </c>
      <c r="C119" s="4"/>
      <c r="D119" s="4"/>
      <c r="E119" s="6"/>
      <c r="F119" s="6"/>
      <c r="G119" s="6"/>
      <c r="I119" s="6"/>
      <c r="J119" s="6"/>
    </row>
    <row r="120" spans="1:10" outlineLevel="1" x14ac:dyDescent="0.25">
      <c r="A120" s="22" t="s">
        <v>271</v>
      </c>
      <c r="B120" s="27" t="s">
        <v>258</v>
      </c>
      <c r="C120" s="22" t="s">
        <v>9</v>
      </c>
      <c r="D120" s="8">
        <v>1</v>
      </c>
      <c r="E120" s="21">
        <v>10</v>
      </c>
      <c r="F120" s="24">
        <f t="shared" ref="F120:F136" si="14">D120*E120</f>
        <v>10</v>
      </c>
      <c r="G120" s="24" t="s">
        <v>230</v>
      </c>
      <c r="I120" s="21"/>
      <c r="J120" s="24"/>
    </row>
    <row r="121" spans="1:10" outlineLevel="1" x14ac:dyDescent="0.25">
      <c r="A121" s="31" t="s">
        <v>147</v>
      </c>
      <c r="B121" s="19" t="s">
        <v>257</v>
      </c>
      <c r="C121" s="4"/>
      <c r="D121" s="4"/>
      <c r="E121" s="6"/>
      <c r="F121" s="6"/>
      <c r="G121" s="6"/>
      <c r="I121" s="6"/>
      <c r="J121" s="6"/>
    </row>
    <row r="122" spans="1:10" ht="30" outlineLevel="1" x14ac:dyDescent="0.25">
      <c r="A122" s="22" t="s">
        <v>216</v>
      </c>
      <c r="B122" s="27" t="s">
        <v>336</v>
      </c>
      <c r="C122" s="22" t="s">
        <v>9</v>
      </c>
      <c r="D122" s="8">
        <v>1</v>
      </c>
      <c r="E122" s="21">
        <v>47.39</v>
      </c>
      <c r="F122" s="24">
        <f t="shared" si="14"/>
        <v>47.39</v>
      </c>
      <c r="G122" s="24" t="s">
        <v>144</v>
      </c>
      <c r="I122" s="21">
        <v>53</v>
      </c>
      <c r="J122" s="24" t="s">
        <v>274</v>
      </c>
    </row>
    <row r="123" spans="1:10" ht="30" outlineLevel="1" x14ac:dyDescent="0.25">
      <c r="A123" s="22" t="s">
        <v>259</v>
      </c>
      <c r="B123" s="27" t="s">
        <v>334</v>
      </c>
      <c r="C123" s="22" t="s">
        <v>9</v>
      </c>
      <c r="D123" s="8">
        <v>1</v>
      </c>
      <c r="E123" s="21">
        <v>53</v>
      </c>
      <c r="F123" s="24">
        <f t="shared" si="14"/>
        <v>53</v>
      </c>
      <c r="G123" s="24" t="s">
        <v>274</v>
      </c>
      <c r="I123" s="24"/>
      <c r="J123" s="24"/>
    </row>
    <row r="124" spans="1:10" ht="30" outlineLevel="1" x14ac:dyDescent="0.25">
      <c r="A124" s="22" t="s">
        <v>260</v>
      </c>
      <c r="B124" s="27" t="s">
        <v>335</v>
      </c>
      <c r="C124" s="22" t="s">
        <v>9</v>
      </c>
      <c r="D124" s="8">
        <v>1</v>
      </c>
      <c r="E124" s="21">
        <v>58</v>
      </c>
      <c r="F124" s="24">
        <f t="shared" ref="F124" si="15">D124*E124</f>
        <v>58</v>
      </c>
      <c r="G124" s="24" t="s">
        <v>274</v>
      </c>
      <c r="I124" s="24"/>
      <c r="J124" s="24"/>
    </row>
    <row r="125" spans="1:10" outlineLevel="1" x14ac:dyDescent="0.25">
      <c r="A125" s="22" t="s">
        <v>261</v>
      </c>
      <c r="B125" s="27" t="s">
        <v>93</v>
      </c>
      <c r="C125" s="22" t="s">
        <v>9</v>
      </c>
      <c r="D125" s="8">
        <v>1</v>
      </c>
      <c r="E125" s="21"/>
      <c r="F125" s="24">
        <f t="shared" si="14"/>
        <v>0</v>
      </c>
      <c r="G125" s="24"/>
      <c r="I125" s="24"/>
      <c r="J125" s="24"/>
    </row>
    <row r="126" spans="1:10" outlineLevel="1" x14ac:dyDescent="0.25">
      <c r="A126" s="22" t="s">
        <v>262</v>
      </c>
      <c r="B126" s="27" t="s">
        <v>94</v>
      </c>
      <c r="C126" s="22" t="s">
        <v>9</v>
      </c>
      <c r="D126" s="8">
        <v>1</v>
      </c>
      <c r="E126" s="21"/>
      <c r="F126" s="24">
        <f t="shared" si="14"/>
        <v>0</v>
      </c>
      <c r="G126" s="24"/>
      <c r="I126" s="21"/>
      <c r="J126" s="24"/>
    </row>
    <row r="127" spans="1:10" outlineLevel="1" x14ac:dyDescent="0.25">
      <c r="A127" s="22" t="s">
        <v>263</v>
      </c>
      <c r="B127" s="27" t="s">
        <v>95</v>
      </c>
      <c r="C127" s="22" t="s">
        <v>9</v>
      </c>
      <c r="D127" s="8">
        <v>1</v>
      </c>
      <c r="E127" s="21"/>
      <c r="F127" s="24">
        <f t="shared" si="14"/>
        <v>0</v>
      </c>
      <c r="G127" s="24"/>
      <c r="I127" s="21"/>
      <c r="J127" s="24"/>
    </row>
    <row r="128" spans="1:10" outlineLevel="1" x14ac:dyDescent="0.25">
      <c r="A128" s="22" t="s">
        <v>264</v>
      </c>
      <c r="B128" s="27" t="s">
        <v>96</v>
      </c>
      <c r="C128" s="22" t="s">
        <v>9</v>
      </c>
      <c r="D128" s="8">
        <v>1</v>
      </c>
      <c r="E128" s="21"/>
      <c r="F128" s="24">
        <f t="shared" si="14"/>
        <v>0</v>
      </c>
      <c r="G128" s="24"/>
      <c r="I128" s="21"/>
      <c r="J128" s="24"/>
    </row>
    <row r="129" spans="1:10" outlineLevel="1" x14ac:dyDescent="0.25">
      <c r="A129" s="22" t="s">
        <v>265</v>
      </c>
      <c r="B129" s="27" t="s">
        <v>102</v>
      </c>
      <c r="C129" s="22" t="s">
        <v>9</v>
      </c>
      <c r="D129" s="8">
        <v>1</v>
      </c>
      <c r="E129" s="21"/>
      <c r="F129" s="24">
        <f t="shared" si="14"/>
        <v>0</v>
      </c>
      <c r="G129" s="24"/>
      <c r="I129" s="21"/>
      <c r="J129" s="24"/>
    </row>
    <row r="130" spans="1:10" outlineLevel="1" x14ac:dyDescent="0.25">
      <c r="A130" s="22" t="s">
        <v>266</v>
      </c>
      <c r="B130" s="27" t="s">
        <v>137</v>
      </c>
      <c r="C130" s="22" t="s">
        <v>9</v>
      </c>
      <c r="D130" s="8">
        <v>1</v>
      </c>
      <c r="E130" s="21"/>
      <c r="F130" s="24">
        <f t="shared" si="14"/>
        <v>0</v>
      </c>
      <c r="G130" s="24"/>
      <c r="I130" s="21"/>
      <c r="J130" s="24"/>
    </row>
    <row r="131" spans="1:10" outlineLevel="1" x14ac:dyDescent="0.25">
      <c r="A131" s="22" t="s">
        <v>267</v>
      </c>
      <c r="B131" s="27" t="s">
        <v>103</v>
      </c>
      <c r="C131" s="22" t="s">
        <v>9</v>
      </c>
      <c r="D131" s="8">
        <v>1</v>
      </c>
      <c r="E131" s="21"/>
      <c r="F131" s="24">
        <f t="shared" si="14"/>
        <v>0</v>
      </c>
      <c r="G131" s="24"/>
      <c r="I131" s="21"/>
      <c r="J131" s="24"/>
    </row>
    <row r="132" spans="1:10" outlineLevel="1" x14ac:dyDescent="0.25">
      <c r="A132" s="22" t="s">
        <v>268</v>
      </c>
      <c r="B132" s="27" t="s">
        <v>104</v>
      </c>
      <c r="C132" s="22" t="s">
        <v>9</v>
      </c>
      <c r="D132" s="8">
        <v>1</v>
      </c>
      <c r="E132" s="26"/>
      <c r="F132" s="24">
        <f t="shared" si="14"/>
        <v>0</v>
      </c>
      <c r="G132" s="24"/>
      <c r="I132" s="26"/>
      <c r="J132" s="24"/>
    </row>
    <row r="133" spans="1:10" ht="30" outlineLevel="1" x14ac:dyDescent="0.25">
      <c r="A133" s="22" t="s">
        <v>269</v>
      </c>
      <c r="B133" s="27" t="s">
        <v>105</v>
      </c>
      <c r="C133" s="22" t="s">
        <v>9</v>
      </c>
      <c r="D133" s="8">
        <v>1</v>
      </c>
      <c r="E133" s="21"/>
      <c r="F133" s="24">
        <f t="shared" si="14"/>
        <v>0</v>
      </c>
      <c r="G133" s="24"/>
      <c r="I133" s="21"/>
      <c r="J133" s="24"/>
    </row>
    <row r="134" spans="1:10" outlineLevel="1" x14ac:dyDescent="0.25">
      <c r="A134" s="22" t="s">
        <v>270</v>
      </c>
      <c r="B134" s="27" t="s">
        <v>25</v>
      </c>
      <c r="C134" s="22" t="s">
        <v>9</v>
      </c>
      <c r="D134" s="8">
        <v>1</v>
      </c>
      <c r="E134" s="21"/>
      <c r="F134" s="24">
        <f t="shared" si="14"/>
        <v>0</v>
      </c>
      <c r="G134" s="24"/>
      <c r="I134" s="21"/>
      <c r="J134" s="24"/>
    </row>
    <row r="135" spans="1:10" outlineLevel="1" x14ac:dyDescent="0.25">
      <c r="A135" s="22" t="s">
        <v>347</v>
      </c>
      <c r="B135" s="27" t="s">
        <v>101</v>
      </c>
      <c r="C135" s="22" t="s">
        <v>17</v>
      </c>
      <c r="D135" s="8">
        <v>1</v>
      </c>
      <c r="E135" s="26">
        <v>24</v>
      </c>
      <c r="F135" s="24">
        <f t="shared" si="14"/>
        <v>24</v>
      </c>
      <c r="G135" s="24" t="s">
        <v>144</v>
      </c>
      <c r="I135" s="26"/>
      <c r="J135" s="24"/>
    </row>
    <row r="136" spans="1:10" ht="30" outlineLevel="1" x14ac:dyDescent="0.25">
      <c r="A136" s="22" t="s">
        <v>348</v>
      </c>
      <c r="B136" s="27" t="s">
        <v>106</v>
      </c>
      <c r="C136" s="22" t="s">
        <v>17</v>
      </c>
      <c r="D136" s="8">
        <v>1</v>
      </c>
      <c r="E136" s="21"/>
      <c r="F136" s="24">
        <f t="shared" si="14"/>
        <v>0</v>
      </c>
      <c r="G136" s="24"/>
      <c r="I136" s="21"/>
      <c r="J136" s="24"/>
    </row>
    <row r="137" spans="1:10" ht="18.75" x14ac:dyDescent="0.25">
      <c r="A137" s="32" t="s">
        <v>146</v>
      </c>
      <c r="B137" s="2" t="s">
        <v>210</v>
      </c>
      <c r="C137" s="1"/>
      <c r="D137" s="1"/>
      <c r="E137" s="3"/>
      <c r="F137" s="3"/>
      <c r="G137" s="3"/>
      <c r="I137" s="3"/>
      <c r="J137" s="3"/>
    </row>
    <row r="138" spans="1:10" outlineLevel="1" x14ac:dyDescent="0.25">
      <c r="A138" s="31" t="s">
        <v>147</v>
      </c>
      <c r="B138" s="19" t="s">
        <v>211</v>
      </c>
      <c r="C138" s="4"/>
      <c r="D138" s="4"/>
      <c r="E138" s="6"/>
      <c r="F138" s="6"/>
      <c r="G138" s="6"/>
      <c r="I138" s="6"/>
      <c r="J138" s="6"/>
    </row>
    <row r="139" spans="1:10" outlineLevel="1" x14ac:dyDescent="0.25">
      <c r="A139" s="22" t="s">
        <v>168</v>
      </c>
      <c r="B139" s="27" t="s">
        <v>107</v>
      </c>
      <c r="C139" s="22" t="s">
        <v>9</v>
      </c>
      <c r="D139" s="8">
        <v>1</v>
      </c>
      <c r="E139" s="21">
        <v>9.1</v>
      </c>
      <c r="F139" s="24">
        <f t="shared" ref="F139:F153" si="16">D139*E139</f>
        <v>9.1</v>
      </c>
      <c r="G139" s="24" t="s">
        <v>197</v>
      </c>
      <c r="I139" s="21">
        <v>10</v>
      </c>
      <c r="J139" s="24" t="s">
        <v>144</v>
      </c>
    </row>
    <row r="140" spans="1:10" outlineLevel="1" x14ac:dyDescent="0.25">
      <c r="A140" s="22" t="s">
        <v>169</v>
      </c>
      <c r="B140" s="27" t="s">
        <v>108</v>
      </c>
      <c r="C140" s="22" t="s">
        <v>9</v>
      </c>
      <c r="D140" s="8">
        <v>1</v>
      </c>
      <c r="E140" s="21">
        <v>15</v>
      </c>
      <c r="F140" s="24">
        <f t="shared" si="16"/>
        <v>15</v>
      </c>
      <c r="G140" s="24" t="s">
        <v>144</v>
      </c>
      <c r="I140" s="21"/>
      <c r="J140" s="24"/>
    </row>
    <row r="141" spans="1:10" outlineLevel="1" x14ac:dyDescent="0.25">
      <c r="A141" s="22" t="s">
        <v>170</v>
      </c>
      <c r="B141" s="27" t="s">
        <v>110</v>
      </c>
      <c r="C141" s="22" t="s">
        <v>9</v>
      </c>
      <c r="D141" s="8">
        <v>1</v>
      </c>
      <c r="E141" s="21"/>
      <c r="F141" s="24">
        <f t="shared" si="16"/>
        <v>0</v>
      </c>
      <c r="G141" s="24"/>
      <c r="I141" s="21"/>
      <c r="J141" s="24"/>
    </row>
    <row r="142" spans="1:10" outlineLevel="1" x14ac:dyDescent="0.25">
      <c r="A142" s="22" t="s">
        <v>171</v>
      </c>
      <c r="B142" s="27" t="s">
        <v>109</v>
      </c>
      <c r="C142" s="22" t="s">
        <v>9</v>
      </c>
      <c r="D142" s="8">
        <v>1</v>
      </c>
      <c r="E142" s="21"/>
      <c r="F142" s="24">
        <f t="shared" si="16"/>
        <v>0</v>
      </c>
      <c r="G142" s="24"/>
      <c r="I142" s="21"/>
      <c r="J142" s="24"/>
    </row>
    <row r="143" spans="1:10" outlineLevel="1" x14ac:dyDescent="0.25">
      <c r="A143" s="22" t="s">
        <v>172</v>
      </c>
      <c r="B143" s="27" t="s">
        <v>26</v>
      </c>
      <c r="C143" s="22" t="s">
        <v>9</v>
      </c>
      <c r="D143" s="8">
        <v>1</v>
      </c>
      <c r="E143" s="21">
        <v>20</v>
      </c>
      <c r="F143" s="24">
        <f t="shared" si="16"/>
        <v>20</v>
      </c>
      <c r="G143" s="24" t="s">
        <v>144</v>
      </c>
      <c r="I143" s="21"/>
      <c r="J143" s="24"/>
    </row>
    <row r="144" spans="1:10" outlineLevel="1" x14ac:dyDescent="0.25">
      <c r="A144" s="22" t="s">
        <v>173</v>
      </c>
      <c r="B144" s="27" t="s">
        <v>111</v>
      </c>
      <c r="C144" s="22" t="s">
        <v>9</v>
      </c>
      <c r="D144" s="8">
        <v>1</v>
      </c>
      <c r="E144" s="21"/>
      <c r="F144" s="24">
        <f t="shared" si="16"/>
        <v>0</v>
      </c>
      <c r="G144" s="24"/>
      <c r="I144" s="21"/>
      <c r="J144" s="24"/>
    </row>
    <row r="145" spans="1:10" outlineLevel="1" x14ac:dyDescent="0.25">
      <c r="A145" s="22" t="s">
        <v>174</v>
      </c>
      <c r="B145" s="27" t="s">
        <v>112</v>
      </c>
      <c r="C145" s="22" t="s">
        <v>9</v>
      </c>
      <c r="D145" s="8">
        <v>1</v>
      </c>
      <c r="E145" s="21"/>
      <c r="F145" s="24">
        <f t="shared" si="16"/>
        <v>0</v>
      </c>
      <c r="G145" s="24"/>
      <c r="I145" s="21"/>
      <c r="J145" s="24"/>
    </row>
    <row r="146" spans="1:10" outlineLevel="1" x14ac:dyDescent="0.25">
      <c r="A146" s="22" t="s">
        <v>175</v>
      </c>
      <c r="B146" s="27" t="s">
        <v>113</v>
      </c>
      <c r="C146" s="22" t="s">
        <v>9</v>
      </c>
      <c r="D146" s="8">
        <v>1</v>
      </c>
      <c r="E146" s="21"/>
      <c r="F146" s="24">
        <f t="shared" si="16"/>
        <v>0</v>
      </c>
      <c r="G146" s="24"/>
      <c r="I146" s="21"/>
      <c r="J146" s="24"/>
    </row>
    <row r="147" spans="1:10" outlineLevel="1" x14ac:dyDescent="0.25">
      <c r="A147" s="22" t="s">
        <v>176</v>
      </c>
      <c r="B147" s="27" t="s">
        <v>27</v>
      </c>
      <c r="C147" s="22" t="s">
        <v>9</v>
      </c>
      <c r="D147" s="8">
        <v>1</v>
      </c>
      <c r="E147" s="21">
        <v>32.5</v>
      </c>
      <c r="F147" s="24">
        <f t="shared" si="16"/>
        <v>32.5</v>
      </c>
      <c r="G147" s="24" t="s">
        <v>197</v>
      </c>
      <c r="I147" s="21"/>
      <c r="J147" s="24"/>
    </row>
    <row r="148" spans="1:10" outlineLevel="1" x14ac:dyDescent="0.25">
      <c r="A148" s="22" t="s">
        <v>177</v>
      </c>
      <c r="B148" s="27" t="s">
        <v>28</v>
      </c>
      <c r="C148" s="22" t="s">
        <v>9</v>
      </c>
      <c r="D148" s="8">
        <v>1</v>
      </c>
      <c r="E148" s="21"/>
      <c r="F148" s="24">
        <f t="shared" si="16"/>
        <v>0</v>
      </c>
      <c r="G148" s="24"/>
      <c r="I148" s="21"/>
      <c r="J148" s="24"/>
    </row>
    <row r="149" spans="1:10" outlineLevel="1" x14ac:dyDescent="0.25">
      <c r="A149" s="22" t="s">
        <v>178</v>
      </c>
      <c r="B149" s="27" t="s">
        <v>29</v>
      </c>
      <c r="C149" s="22" t="s">
        <v>9</v>
      </c>
      <c r="D149" s="8">
        <v>1</v>
      </c>
      <c r="E149" s="21"/>
      <c r="F149" s="24">
        <f t="shared" si="16"/>
        <v>0</v>
      </c>
      <c r="G149" s="24"/>
      <c r="I149" s="21"/>
      <c r="J149" s="24"/>
    </row>
    <row r="150" spans="1:10" outlineLevel="1" x14ac:dyDescent="0.25">
      <c r="A150" s="22" t="s">
        <v>179</v>
      </c>
      <c r="B150" s="27" t="s">
        <v>30</v>
      </c>
      <c r="C150" s="22" t="s">
        <v>9</v>
      </c>
      <c r="D150" s="8">
        <v>1</v>
      </c>
      <c r="E150" s="21"/>
      <c r="F150" s="24">
        <f t="shared" si="16"/>
        <v>0</v>
      </c>
      <c r="G150" s="24"/>
      <c r="I150" s="21"/>
      <c r="J150" s="24"/>
    </row>
    <row r="151" spans="1:10" outlineLevel="1" x14ac:dyDescent="0.25">
      <c r="A151" s="22" t="s">
        <v>272</v>
      </c>
      <c r="B151" s="27" t="s">
        <v>228</v>
      </c>
      <c r="C151" s="22" t="s">
        <v>9</v>
      </c>
      <c r="D151" s="8">
        <v>1</v>
      </c>
      <c r="E151" s="21">
        <v>80</v>
      </c>
      <c r="F151" s="24">
        <f t="shared" si="16"/>
        <v>80</v>
      </c>
      <c r="G151" s="24" t="s">
        <v>197</v>
      </c>
      <c r="I151" s="21"/>
      <c r="J151" s="24"/>
    </row>
    <row r="152" spans="1:10" outlineLevel="1" x14ac:dyDescent="0.25">
      <c r="A152" s="31" t="s">
        <v>147</v>
      </c>
      <c r="B152" s="19" t="s">
        <v>212</v>
      </c>
      <c r="C152" s="4"/>
      <c r="D152" s="4"/>
      <c r="E152" s="6"/>
      <c r="F152" s="6"/>
      <c r="G152" s="6"/>
      <c r="I152" s="6"/>
      <c r="J152" s="6"/>
    </row>
    <row r="153" spans="1:10" outlineLevel="1" x14ac:dyDescent="0.25">
      <c r="A153" s="22" t="s">
        <v>221</v>
      </c>
      <c r="B153" s="27" t="s">
        <v>201</v>
      </c>
      <c r="C153" s="22" t="s">
        <v>9</v>
      </c>
      <c r="D153" s="8">
        <v>1</v>
      </c>
      <c r="E153" s="21">
        <v>19</v>
      </c>
      <c r="F153" s="24">
        <f t="shared" si="16"/>
        <v>19</v>
      </c>
      <c r="G153" s="24" t="s">
        <v>197</v>
      </c>
      <c r="I153" s="21"/>
      <c r="J153" s="24"/>
    </row>
    <row r="154" spans="1:10" ht="18.75" x14ac:dyDescent="0.25">
      <c r="A154" s="32" t="s">
        <v>146</v>
      </c>
      <c r="B154" s="2" t="s">
        <v>213</v>
      </c>
      <c r="C154" s="1"/>
      <c r="D154" s="1"/>
      <c r="E154" s="3"/>
      <c r="F154" s="3"/>
      <c r="G154" s="3"/>
      <c r="I154" s="3"/>
      <c r="J154" s="3"/>
    </row>
    <row r="155" spans="1:10" outlineLevel="1" x14ac:dyDescent="0.25">
      <c r="A155" s="31" t="s">
        <v>147</v>
      </c>
      <c r="B155" s="19" t="s">
        <v>215</v>
      </c>
      <c r="C155" s="4"/>
      <c r="D155" s="4"/>
      <c r="E155" s="6"/>
      <c r="F155" s="6"/>
      <c r="G155" s="6"/>
      <c r="I155" s="6"/>
      <c r="J155" s="6"/>
    </row>
    <row r="156" spans="1:10" ht="45" outlineLevel="1" x14ac:dyDescent="0.25">
      <c r="A156" s="22" t="s">
        <v>180</v>
      </c>
      <c r="B156" s="27" t="s">
        <v>114</v>
      </c>
      <c r="C156" s="22" t="s">
        <v>9</v>
      </c>
      <c r="D156" s="8">
        <v>1</v>
      </c>
      <c r="E156" s="21">
        <v>50.05</v>
      </c>
      <c r="F156" s="24">
        <f t="shared" ref="F156:F172" si="17">D156*E156</f>
        <v>50.05</v>
      </c>
      <c r="G156" s="24" t="s">
        <v>206</v>
      </c>
      <c r="I156" s="21">
        <v>55</v>
      </c>
      <c r="J156" s="24" t="s">
        <v>144</v>
      </c>
    </row>
    <row r="157" spans="1:10" outlineLevel="1" x14ac:dyDescent="0.25">
      <c r="A157" s="22" t="s">
        <v>181</v>
      </c>
      <c r="B157" s="27" t="s">
        <v>115</v>
      </c>
      <c r="C157" s="22" t="s">
        <v>9</v>
      </c>
      <c r="D157" s="8">
        <v>1</v>
      </c>
      <c r="E157" s="21">
        <v>30</v>
      </c>
      <c r="F157" s="24">
        <f t="shared" si="17"/>
        <v>30</v>
      </c>
      <c r="G157" s="24" t="s">
        <v>144</v>
      </c>
      <c r="I157" s="21"/>
      <c r="J157" s="24"/>
    </row>
    <row r="158" spans="1:10" outlineLevel="1" x14ac:dyDescent="0.25">
      <c r="A158" s="22" t="s">
        <v>182</v>
      </c>
      <c r="B158" s="27" t="s">
        <v>116</v>
      </c>
      <c r="C158" s="22" t="s">
        <v>9</v>
      </c>
      <c r="D158" s="8">
        <v>1</v>
      </c>
      <c r="E158" s="21"/>
      <c r="F158" s="24">
        <f t="shared" si="17"/>
        <v>0</v>
      </c>
      <c r="G158" s="24"/>
      <c r="I158" s="21"/>
      <c r="J158" s="24"/>
    </row>
    <row r="159" spans="1:10" outlineLevel="1" x14ac:dyDescent="0.25">
      <c r="A159" s="22" t="s">
        <v>183</v>
      </c>
      <c r="B159" s="27" t="s">
        <v>117</v>
      </c>
      <c r="C159" s="22" t="s">
        <v>9</v>
      </c>
      <c r="D159" s="8">
        <v>1</v>
      </c>
      <c r="E159" s="21"/>
      <c r="F159" s="24">
        <f t="shared" si="17"/>
        <v>0</v>
      </c>
      <c r="G159" s="24"/>
      <c r="I159" s="21"/>
      <c r="J159" s="24"/>
    </row>
    <row r="160" spans="1:10" outlineLevel="1" x14ac:dyDescent="0.25">
      <c r="A160" s="22" t="s">
        <v>184</v>
      </c>
      <c r="B160" s="27" t="s">
        <v>118</v>
      </c>
      <c r="C160" s="22" t="s">
        <v>9</v>
      </c>
      <c r="D160" s="8">
        <v>1</v>
      </c>
      <c r="E160" s="21"/>
      <c r="F160" s="24">
        <f t="shared" si="17"/>
        <v>0</v>
      </c>
      <c r="G160" s="24"/>
      <c r="I160" s="21"/>
      <c r="J160" s="24"/>
    </row>
    <row r="161" spans="1:10" outlineLevel="1" x14ac:dyDescent="0.25">
      <c r="A161" s="22" t="s">
        <v>185</v>
      </c>
      <c r="B161" s="27" t="s">
        <v>31</v>
      </c>
      <c r="C161" s="22" t="s">
        <v>9</v>
      </c>
      <c r="D161" s="8">
        <v>1</v>
      </c>
      <c r="E161" s="21"/>
      <c r="F161" s="24">
        <f t="shared" si="17"/>
        <v>0</v>
      </c>
      <c r="G161" s="24"/>
      <c r="I161" s="21"/>
      <c r="J161" s="24"/>
    </row>
    <row r="162" spans="1:10" outlineLevel="1" x14ac:dyDescent="0.25">
      <c r="A162" s="22" t="s">
        <v>186</v>
      </c>
      <c r="B162" s="27" t="s">
        <v>121</v>
      </c>
      <c r="C162" s="22" t="s">
        <v>9</v>
      </c>
      <c r="D162" s="8">
        <v>1</v>
      </c>
      <c r="E162" s="21"/>
      <c r="F162" s="24">
        <f t="shared" si="17"/>
        <v>0</v>
      </c>
      <c r="G162" s="24"/>
      <c r="I162" s="21"/>
      <c r="J162" s="24"/>
    </row>
    <row r="163" spans="1:10" outlineLevel="1" x14ac:dyDescent="0.25">
      <c r="A163" s="22" t="s">
        <v>187</v>
      </c>
      <c r="B163" s="27" t="s">
        <v>119</v>
      </c>
      <c r="C163" s="22" t="s">
        <v>9</v>
      </c>
      <c r="D163" s="8">
        <v>1</v>
      </c>
      <c r="E163" s="21"/>
      <c r="F163" s="24">
        <f t="shared" si="17"/>
        <v>0</v>
      </c>
      <c r="G163" s="24"/>
      <c r="I163" s="21"/>
      <c r="J163" s="24"/>
    </row>
    <row r="164" spans="1:10" outlineLevel="1" x14ac:dyDescent="0.25">
      <c r="A164" s="22" t="s">
        <v>188</v>
      </c>
      <c r="B164" s="27" t="s">
        <v>120</v>
      </c>
      <c r="C164" s="22" t="s">
        <v>9</v>
      </c>
      <c r="D164" s="8">
        <v>1</v>
      </c>
      <c r="E164" s="21"/>
      <c r="F164" s="24">
        <f t="shared" si="17"/>
        <v>0</v>
      </c>
      <c r="G164" s="24"/>
      <c r="I164" s="21"/>
      <c r="J164" s="24"/>
    </row>
    <row r="165" spans="1:10" outlineLevel="1" x14ac:dyDescent="0.25">
      <c r="A165" s="22" t="s">
        <v>189</v>
      </c>
      <c r="B165" s="27" t="s">
        <v>32</v>
      </c>
      <c r="C165" s="22" t="s">
        <v>9</v>
      </c>
      <c r="D165" s="8">
        <v>1</v>
      </c>
      <c r="E165" s="21"/>
      <c r="F165" s="24">
        <f t="shared" si="17"/>
        <v>0</v>
      </c>
      <c r="G165" s="24"/>
      <c r="I165" s="21"/>
      <c r="J165" s="24"/>
    </row>
    <row r="166" spans="1:10" outlineLevel="1" x14ac:dyDescent="0.25">
      <c r="A166" s="22" t="s">
        <v>190</v>
      </c>
      <c r="B166" s="27" t="s">
        <v>33</v>
      </c>
      <c r="C166" s="22" t="s">
        <v>9</v>
      </c>
      <c r="D166" s="8">
        <v>1</v>
      </c>
      <c r="E166" s="21"/>
      <c r="F166" s="24">
        <f t="shared" si="17"/>
        <v>0</v>
      </c>
      <c r="G166" s="24"/>
      <c r="I166" s="21"/>
      <c r="J166" s="24"/>
    </row>
    <row r="167" spans="1:10" outlineLevel="1" x14ac:dyDescent="0.25">
      <c r="A167" s="22" t="s">
        <v>191</v>
      </c>
      <c r="B167" s="27" t="s">
        <v>123</v>
      </c>
      <c r="C167" s="22" t="s">
        <v>17</v>
      </c>
      <c r="D167" s="8">
        <v>1</v>
      </c>
      <c r="E167" s="21"/>
      <c r="F167" s="24">
        <f t="shared" si="17"/>
        <v>0</v>
      </c>
      <c r="G167" s="24"/>
      <c r="I167" s="21"/>
      <c r="J167" s="24"/>
    </row>
    <row r="168" spans="1:10" outlineLevel="1" x14ac:dyDescent="0.25">
      <c r="A168" s="22" t="s">
        <v>192</v>
      </c>
      <c r="B168" s="27" t="s">
        <v>124</v>
      </c>
      <c r="C168" s="22" t="s">
        <v>17</v>
      </c>
      <c r="D168" s="8">
        <v>1</v>
      </c>
      <c r="E168" s="21">
        <v>6.5</v>
      </c>
      <c r="F168" s="24">
        <f t="shared" si="17"/>
        <v>6.5</v>
      </c>
      <c r="G168" s="24" t="s">
        <v>197</v>
      </c>
      <c r="I168" s="21">
        <v>10</v>
      </c>
      <c r="J168" s="24" t="s">
        <v>144</v>
      </c>
    </row>
    <row r="169" spans="1:10" outlineLevel="1" x14ac:dyDescent="0.25">
      <c r="A169" s="22" t="s">
        <v>193</v>
      </c>
      <c r="B169" s="27" t="s">
        <v>34</v>
      </c>
      <c r="C169" s="22" t="s">
        <v>17</v>
      </c>
      <c r="D169" s="8">
        <v>1</v>
      </c>
      <c r="E169" s="21">
        <v>5.2</v>
      </c>
      <c r="F169" s="24">
        <f t="shared" si="17"/>
        <v>5.2</v>
      </c>
      <c r="G169" s="24" t="s">
        <v>197</v>
      </c>
      <c r="I169" s="21">
        <v>10</v>
      </c>
      <c r="J169" s="24" t="s">
        <v>144</v>
      </c>
    </row>
    <row r="170" spans="1:10" outlineLevel="1" x14ac:dyDescent="0.25">
      <c r="A170" s="22" t="s">
        <v>194</v>
      </c>
      <c r="B170" s="27" t="s">
        <v>125</v>
      </c>
      <c r="C170" s="22" t="s">
        <v>17</v>
      </c>
      <c r="D170" s="8">
        <v>1</v>
      </c>
      <c r="E170" s="21"/>
      <c r="F170" s="24">
        <f t="shared" si="17"/>
        <v>0</v>
      </c>
      <c r="G170" s="24"/>
      <c r="I170" s="21"/>
      <c r="J170" s="24"/>
    </row>
    <row r="171" spans="1:10" outlineLevel="1" x14ac:dyDescent="0.25">
      <c r="A171" s="22" t="s">
        <v>195</v>
      </c>
      <c r="B171" s="27" t="s">
        <v>35</v>
      </c>
      <c r="C171" s="22" t="s">
        <v>17</v>
      </c>
      <c r="D171" s="8">
        <v>1</v>
      </c>
      <c r="E171" s="21">
        <v>5</v>
      </c>
      <c r="F171" s="24">
        <f t="shared" si="17"/>
        <v>5</v>
      </c>
      <c r="G171" s="24" t="s">
        <v>144</v>
      </c>
      <c r="I171" s="21">
        <v>11.05</v>
      </c>
      <c r="J171" s="24" t="s">
        <v>197</v>
      </c>
    </row>
    <row r="172" spans="1:10" outlineLevel="1" x14ac:dyDescent="0.25">
      <c r="A172" s="22" t="s">
        <v>196</v>
      </c>
      <c r="B172" s="27" t="s">
        <v>208</v>
      </c>
      <c r="C172" s="22" t="s">
        <v>17</v>
      </c>
      <c r="D172" s="8">
        <v>1</v>
      </c>
      <c r="E172" s="21">
        <v>14.95</v>
      </c>
      <c r="F172" s="24">
        <f t="shared" si="17"/>
        <v>14.95</v>
      </c>
      <c r="G172" s="24" t="s">
        <v>197</v>
      </c>
      <c r="I172" s="21"/>
      <c r="J172" s="24"/>
    </row>
    <row r="173" spans="1:10" outlineLevel="1" x14ac:dyDescent="0.25">
      <c r="A173" s="31" t="s">
        <v>147</v>
      </c>
      <c r="B173" s="19" t="s">
        <v>214</v>
      </c>
      <c r="C173" s="4"/>
      <c r="D173" s="4"/>
      <c r="E173" s="6"/>
      <c r="F173" s="6"/>
      <c r="G173" s="6"/>
      <c r="I173" s="6"/>
      <c r="J173" s="6"/>
    </row>
    <row r="174" spans="1:10" outlineLevel="1" x14ac:dyDescent="0.25">
      <c r="A174" s="22" t="s">
        <v>217</v>
      </c>
      <c r="B174" s="27" t="s">
        <v>122</v>
      </c>
      <c r="C174" s="22" t="s">
        <v>9</v>
      </c>
      <c r="D174" s="8">
        <v>1</v>
      </c>
      <c r="E174" s="21"/>
      <c r="F174" s="24">
        <f>D174*E174</f>
        <v>0</v>
      </c>
      <c r="G174" s="24"/>
      <c r="I174" s="21"/>
      <c r="J174" s="24"/>
    </row>
    <row r="175" spans="1:10" outlineLevel="1" x14ac:dyDescent="0.25">
      <c r="A175" s="22" t="s">
        <v>218</v>
      </c>
      <c r="B175" s="27" t="s">
        <v>126</v>
      </c>
      <c r="C175" s="22" t="s">
        <v>9</v>
      </c>
      <c r="D175" s="8">
        <v>1</v>
      </c>
      <c r="E175" s="21"/>
      <c r="F175" s="24">
        <f>D175*E175</f>
        <v>0</v>
      </c>
      <c r="G175" s="24"/>
      <c r="I175" s="21"/>
      <c r="J175" s="24"/>
    </row>
    <row r="176" spans="1:10" outlineLevel="1" x14ac:dyDescent="0.25">
      <c r="A176" s="22" t="s">
        <v>219</v>
      </c>
      <c r="B176" s="27" t="s">
        <v>136</v>
      </c>
      <c r="C176" s="22" t="s">
        <v>17</v>
      </c>
      <c r="D176" s="8">
        <v>1</v>
      </c>
      <c r="E176" s="21">
        <v>15</v>
      </c>
      <c r="F176" s="24">
        <f>D176*E176</f>
        <v>15</v>
      </c>
      <c r="G176" s="24" t="s">
        <v>144</v>
      </c>
      <c r="I176" s="21"/>
      <c r="J176" s="24"/>
    </row>
    <row r="177" spans="1:10" ht="30" outlineLevel="1" x14ac:dyDescent="0.25">
      <c r="A177" s="22" t="s">
        <v>220</v>
      </c>
      <c r="B177" s="27" t="s">
        <v>207</v>
      </c>
      <c r="C177" s="22" t="s">
        <v>9</v>
      </c>
      <c r="D177" s="8">
        <v>1</v>
      </c>
      <c r="E177" s="21">
        <v>147.55000000000001</v>
      </c>
      <c r="F177" s="24">
        <f>D177*E177</f>
        <v>147.55000000000001</v>
      </c>
      <c r="G177" s="24" t="s">
        <v>197</v>
      </c>
      <c r="I177" s="21"/>
      <c r="J177" s="24"/>
    </row>
    <row r="178" spans="1:10" ht="30" outlineLevel="1" x14ac:dyDescent="0.25">
      <c r="A178" s="22" t="s">
        <v>327</v>
      </c>
      <c r="B178" s="27" t="s">
        <v>326</v>
      </c>
      <c r="C178" s="22" t="s">
        <v>9</v>
      </c>
      <c r="D178" s="8">
        <v>34</v>
      </c>
      <c r="E178" s="21">
        <v>21.32</v>
      </c>
      <c r="F178" s="24"/>
      <c r="G178" s="24" t="s">
        <v>274</v>
      </c>
      <c r="I178" s="21"/>
      <c r="J178" s="24"/>
    </row>
  </sheetData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Lucrari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 D</cp:lastModifiedBy>
  <dcterms:created xsi:type="dcterms:W3CDTF">2026-05-06T09:03:09Z</dcterms:created>
  <dcterms:modified xsi:type="dcterms:W3CDTF">2026-05-10T08:49:21Z</dcterms:modified>
</cp:coreProperties>
</file>