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S:\_Marius\Proiecte Active\Lista preturi lucrari constructii\"/>
    </mc:Choice>
  </mc:AlternateContent>
  <xr:revisionPtr revIDLastSave="0" documentId="13_ncr:1_{4CA361C4-2B88-4BF8-AB78-32F837B359B7}" xr6:coauthVersionLast="47" xr6:coauthVersionMax="47" xr10:uidLastSave="{00000000-0000-0000-0000-000000000000}"/>
  <bookViews>
    <workbookView xWindow="390" yWindow="390" windowWidth="18945" windowHeight="14775" xr2:uid="{00000000-000D-0000-FFFF-FFFF00000000}"/>
  </bookViews>
  <sheets>
    <sheet name="Lista Lucrari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F6" i="1"/>
  <c r="F88" i="1"/>
  <c r="F89" i="1"/>
  <c r="F59" i="1"/>
  <c r="F60" i="1"/>
  <c r="F62" i="1"/>
  <c r="F27" i="1"/>
  <c r="F13" i="1"/>
  <c r="F9" i="1"/>
  <c r="F11" i="1" l="1"/>
  <c r="F85" i="1"/>
  <c r="F73" i="1"/>
  <c r="F69" i="1" l="1"/>
  <c r="F68" i="1"/>
  <c r="F67" i="1"/>
  <c r="F65" i="1"/>
  <c r="F115" i="1"/>
  <c r="F136" i="1"/>
  <c r="F135" i="1"/>
  <c r="F131" i="1"/>
  <c r="F82" i="1"/>
  <c r="F7" i="1"/>
  <c r="F33" i="1" l="1"/>
  <c r="F54" i="1"/>
  <c r="F53" i="1"/>
  <c r="F56" i="1"/>
  <c r="F61" i="1"/>
  <c r="F126" i="1"/>
  <c r="F109" i="1"/>
  <c r="F108" i="1"/>
  <c r="F42" i="1"/>
  <c r="F37" i="1"/>
  <c r="F26" i="1"/>
  <c r="F21" i="1"/>
  <c r="F20" i="1"/>
  <c r="F19" i="1"/>
  <c r="F18" i="1"/>
  <c r="F17" i="1"/>
  <c r="F16" i="1"/>
  <c r="F15" i="1"/>
  <c r="F5" i="1"/>
  <c r="F4" i="1"/>
  <c r="F78" i="1"/>
  <c r="F79" i="1"/>
  <c r="F95" i="1"/>
  <c r="F119" i="1" l="1"/>
  <c r="F134" i="1"/>
  <c r="F133" i="1"/>
  <c r="F130" i="1"/>
  <c r="F129" i="1"/>
  <c r="F128" i="1"/>
  <c r="F127" i="1"/>
  <c r="F125" i="1"/>
  <c r="F124" i="1"/>
  <c r="F123" i="1"/>
  <c r="F122" i="1"/>
  <c r="F121" i="1"/>
  <c r="F120" i="1"/>
  <c r="F118" i="1"/>
  <c r="F113" i="1"/>
  <c r="F112" i="1"/>
  <c r="F111" i="1"/>
  <c r="F110" i="1"/>
  <c r="F107" i="1"/>
  <c r="F106" i="1"/>
  <c r="F105" i="1"/>
  <c r="F104" i="1"/>
  <c r="F103" i="1"/>
  <c r="F102" i="1"/>
  <c r="F99" i="1"/>
  <c r="F98" i="1"/>
  <c r="F97" i="1"/>
  <c r="F96" i="1"/>
  <c r="F94" i="1"/>
  <c r="F93" i="1"/>
  <c r="F92" i="1"/>
  <c r="F91" i="1"/>
  <c r="F90" i="1"/>
  <c r="F87" i="1"/>
  <c r="F81" i="1"/>
  <c r="F80" i="1"/>
  <c r="F76" i="1"/>
  <c r="F75" i="1"/>
  <c r="F74" i="1"/>
  <c r="F72" i="1"/>
  <c r="F64" i="1"/>
  <c r="F58" i="1"/>
  <c r="F57" i="1"/>
  <c r="F52" i="1"/>
  <c r="F51" i="1"/>
  <c r="F50" i="1"/>
  <c r="F49" i="1"/>
  <c r="F47" i="1"/>
  <c r="F46" i="1"/>
  <c r="F45" i="1"/>
  <c r="F44" i="1"/>
  <c r="F41" i="1"/>
  <c r="F40" i="1"/>
  <c r="F39" i="1"/>
  <c r="F35" i="1"/>
  <c r="F34" i="1"/>
  <c r="F30" i="1"/>
  <c r="F25" i="1"/>
  <c r="F24" i="1"/>
  <c r="F23" i="1"/>
  <c r="F12" i="1"/>
  <c r="F10" i="1"/>
</calcChain>
</file>

<file path=xl/sharedStrings.xml><?xml version="1.0" encoding="utf-8"?>
<sst xmlns="http://schemas.openxmlformats.org/spreadsheetml/2006/main" count="442" uniqueCount="270">
  <si>
    <t>COD</t>
  </si>
  <si>
    <t>DESCRIERE</t>
  </si>
  <si>
    <t>UM</t>
  </si>
  <si>
    <t>CANTITATE</t>
  </si>
  <si>
    <t>PRET UNITAR  [EUR fara TVA]</t>
  </si>
  <si>
    <t>PRET TOTAL [EUR fara TVA]</t>
  </si>
  <si>
    <t>DEMOLARI SI PREGATIRE</t>
  </si>
  <si>
    <t>Demolare pereti</t>
  </si>
  <si>
    <t>mp</t>
  </si>
  <si>
    <t>Demolare tavane</t>
  </si>
  <si>
    <t>ans</t>
  </si>
  <si>
    <t>Desfacere pardoseli</t>
  </si>
  <si>
    <t>buc</t>
  </si>
  <si>
    <t>Decopertare si curatare/slefuire stalp beton</t>
  </si>
  <si>
    <t>ml</t>
  </si>
  <si>
    <t>Evacuare gunoi</t>
  </si>
  <si>
    <t>mc</t>
  </si>
  <si>
    <t>Pereti din zidarie</t>
  </si>
  <si>
    <t>Partitii din sticla</t>
  </si>
  <si>
    <t>Usi interioare</t>
  </si>
  <si>
    <t>TAVANE</t>
  </si>
  <si>
    <t>Placare perete cu gresie ceramica, inclusiv adeziv si rosturi</t>
  </si>
  <si>
    <t>Placare perete cu marmura / piatra naturala, inclusiv adeziv si finisare</t>
  </si>
  <si>
    <t>Placare perete cu panouri HPL, fixare pe structura metalica</t>
  </si>
  <si>
    <t>Placare perete cu lamele lemn / MDF, finisaj natur sau vopsit</t>
  </si>
  <si>
    <t>Pardoseala epoxidica autonivelanta, inclusiv grunduire si aplicare</t>
  </si>
  <si>
    <t>Pardoseala din beton slefuit / polizat, inclusiv tratament de suprafata</t>
  </si>
  <si>
    <t>Plinta flexibila</t>
  </si>
  <si>
    <t>Profil trecere intre pardoseli</t>
  </si>
  <si>
    <t>Demolare tavan fals din lamele metalice - demontare si evacuare</t>
  </si>
  <si>
    <t>Raschetarea si curatarea mecanica a resturilor de adeziv vechi de pe sapa. Aspirare profesionala a suprafetei suport</t>
  </si>
  <si>
    <t>Placare cu gips-carton</t>
  </si>
  <si>
    <t>Perete din gips-carton, grosime 7.5cm, structură CW/UW 50, placare simpla pe ambele părți cu plăci standard (GKB), fără vată minerală.</t>
  </si>
  <si>
    <t>Perete din gips-carton, grosime 10cm, structură CW/UW 50, placare dubla pe ambele părți cu plăci standard (GKB), inclusiv vată minerală de 5cm.</t>
  </si>
  <si>
    <t>Perete din gips-carton, grosime 10cm, structură CW/UW 50, placare dubla pe ambele părți cu plăci hidrofuge (GKBI), inclusiv vată minerală de 5cm.</t>
  </si>
  <si>
    <t>Perete din gips-carton, grosime 10cm, structură CW/UW 75, placare simpla pe ambele părți cu plăci standard (GKB), inclusiv vată minerală de 5cm.</t>
  </si>
  <si>
    <t>Perete din gips-carton, grosime 10cm, structură CW/UW 75, placare simpla pe ambele părți cu plăci hidrofuge (GKBI), inclusiv vată minerală de 5cm.</t>
  </si>
  <si>
    <t>Perete din gips-carton, grosime 12.5cm, structură CW/UW 75, placare dubla pe ambele părți cu plăci standard (GKB), inclusiv vată minerală de 5cm.</t>
  </si>
  <si>
    <t>Perete din gips-carton, grosime 12.5cm, structură CW/UW 75, placare dubla pe ambele părți cu plăci hidrofuge (GKBI), inclusiv vată minerală de 5cm.</t>
  </si>
  <si>
    <t>Perete din gips-carton, grosime 12.5cm, structură CW/UW 100, placare simpla pe ambele părți cu plăci standard (GKB), inclusiv vată minerală de 5cm.</t>
  </si>
  <si>
    <t>Perete din gips-carton, grosime 12.5cm, structură CW/UW 100, placare simpla pe ambele părți cu plăci hidrofuge (GKBI), inclusiv vată minerală de 5cm.</t>
  </si>
  <si>
    <t>Perete din BCA 20cm, inclusiv grund si tinci</t>
  </si>
  <si>
    <t>Perete din BCA 10cm (compartimentare usoara), inclusiv grund si tinci</t>
  </si>
  <si>
    <t>Bandou ranforsat dispus deasupra partitiei de sticla, simplu placat</t>
  </si>
  <si>
    <t>Demontarea plinta</t>
  </si>
  <si>
    <t>m</t>
  </si>
  <si>
    <t>Ușă metalică plină EI30-C, simplu canat, dimensiuni standard</t>
  </si>
  <si>
    <t>Ușă metalică plină EI60-C, simplu canat, dimensiuni standard</t>
  </si>
  <si>
    <t>Ușă metalică plină EI90-C, simplu canat, dimensiuni standard</t>
  </si>
  <si>
    <t>Plafon din gips-carton EI 30</t>
  </si>
  <si>
    <t>Plafon din gips-carton EI 60</t>
  </si>
  <si>
    <t>Plafon din gips-carton EI 90</t>
  </si>
  <si>
    <t>Plafon din gips-carton EI 120</t>
  </si>
  <si>
    <t>Elemente speciale gips-carton</t>
  </si>
  <si>
    <t>Perete gips-carton cu dublă structură (montant dublu) pentru izolare fonică sporită (Rw ≥ 60 dB)</t>
  </si>
  <si>
    <t>Perete gips-carton curb / rotunjit pe structura metalica speciala</t>
  </si>
  <si>
    <t>Perete gips-carton cu ranforsare continuă pentru fixare mobilier suspendat greu (dulapuri, echipamente)</t>
  </si>
  <si>
    <t>Scafa de iluminat indirect din gips-carton, H=20-30cm</t>
  </si>
  <si>
    <t>Plafon din gips-carton simplu placat hidrofugat (GKBI) - zone umede (baie, bucatarie)</t>
  </si>
  <si>
    <t>Plafon din gips-carton simplu placat cu izolatie fonoabsorbanta, vata minerala 50mm</t>
  </si>
  <si>
    <t>Plafon casetat 60x60cm, inclusiv structura</t>
  </si>
  <si>
    <t>Plafon tehnic cu lamele metalice, lamele standard, spatiere standard, inclusiv structura de sustinere</t>
  </si>
  <si>
    <t xml:space="preserve">Constructie din gips-carton pentru ascundere conducte si instalatii, sectiune dreptunghiulara, dimensiuni … , </t>
  </si>
  <si>
    <t>Vopsitorie lavabila standard (alb/culori deschise), 2 straturi, inclusiv amorsa perete</t>
  </si>
  <si>
    <t>Vopsitorie lavabila standard (negru/culori inchise), 3 straturi, inclusiv amorsa perete</t>
  </si>
  <si>
    <t>Reparatii si slefuire perete gips-carton inainte de vopsire finala</t>
  </si>
  <si>
    <t>Amorsare perete / tavan inainte de vopsire</t>
  </si>
  <si>
    <t>Tencuiala decorativa de interior, cu aspect industrial</t>
  </si>
  <si>
    <t>Vopsitorie writeable</t>
  </si>
  <si>
    <t>Vopsitorie writeable magnetica</t>
  </si>
  <si>
    <t>Pardoseala LVT/SPC 50x50cm montata prin click/Loose Lay</t>
  </si>
  <si>
    <t>Pardoseala mocheta 50x50cm montata prin lipire (cu autoadeziv)</t>
  </si>
  <si>
    <t>Pardoseala LVT/SPC 50x50cm montata prin lipire (cu autoadeziv)</t>
  </si>
  <si>
    <t>Pardoseala parchet laminat standard, montata prin lipire, inclusiv adeziv si montaj</t>
  </si>
  <si>
    <t>Pardoseala parchet triplustratificat, montata prin lipire, inclusiv adeziv si montaj</t>
  </si>
  <si>
    <t>Pardoseala parchet laminat standard, montata flotant (click)</t>
  </si>
  <si>
    <t>Sapa autonivelanta de egalizare, grosime 2-10mm</t>
  </si>
  <si>
    <t>Plinta mocheta/LVT/SPC</t>
  </si>
  <si>
    <t>Plinta duropolimer, inaltime standard (6-10cm)</t>
  </si>
  <si>
    <t>Plinta parchet lemn masiv 7cm</t>
  </si>
  <si>
    <t>Hidroizolatie pensulabila zona umeda, inclusiv benzi etansare colturi</t>
  </si>
  <si>
    <t>Placare gips-carton, structură CW/UW 50, 1x12.5mm placă standard (GKB), grosime totală 6.25cm</t>
  </si>
  <si>
    <t>Placare gips-carton, structură CW/UW 50, 2x12.5mm placă standard (GKB), grosime totală 7.5cm, inclusiv vată minerală 5cm</t>
  </si>
  <si>
    <t>Placare gips-carton, structură CW/UW 50, 2x12.5mm placă hidrofugă (GKBI), grosime totală 7.5cm, fără vată minerală</t>
  </si>
  <si>
    <t>Altele</t>
  </si>
  <si>
    <t>Demontare usa acces</t>
  </si>
  <si>
    <t>Observatii 
(proiect sursa)</t>
  </si>
  <si>
    <t>Panou rigid vata bazaltica dispus sub partitia de sticla, H=15cm</t>
  </si>
  <si>
    <t>Arcade</t>
  </si>
  <si>
    <t xml:space="preserve">Partitie cu o foaie de sticla, profil aluminiu </t>
  </si>
  <si>
    <t xml:space="preserve">Partitie cu 2 foi de sticla, profil aluminiu </t>
  </si>
  <si>
    <t>Samsung</t>
  </si>
  <si>
    <t>Chapter</t>
  </si>
  <si>
    <t>Subch.</t>
  </si>
  <si>
    <t>DEM.1</t>
  </si>
  <si>
    <t>DEM.3</t>
  </si>
  <si>
    <t>DEM.5</t>
  </si>
  <si>
    <t>DEM.6</t>
  </si>
  <si>
    <t>DEM.7</t>
  </si>
  <si>
    <t>DEM.8</t>
  </si>
  <si>
    <t>DEM.9</t>
  </si>
  <si>
    <t>DEM.11</t>
  </si>
  <si>
    <t>DEM.12</t>
  </si>
  <si>
    <t>DEM.13</t>
  </si>
  <si>
    <t>DEM.14</t>
  </si>
  <si>
    <t>DEM.15</t>
  </si>
  <si>
    <t>DEM.16</t>
  </si>
  <si>
    <t>DEM.17</t>
  </si>
  <si>
    <t>DEM.18</t>
  </si>
  <si>
    <t>DEM.19</t>
  </si>
  <si>
    <t>DEM.20</t>
  </si>
  <si>
    <t>WF.1</t>
  </si>
  <si>
    <t>WF.2</t>
  </si>
  <si>
    <t>WF.3</t>
  </si>
  <si>
    <t>WF.4</t>
  </si>
  <si>
    <t>WF.5</t>
  </si>
  <si>
    <t>WF.6</t>
  </si>
  <si>
    <t>WF.7</t>
  </si>
  <si>
    <t>WF.8</t>
  </si>
  <si>
    <t>WF.9</t>
  </si>
  <si>
    <t>WF.10</t>
  </si>
  <si>
    <t>WF.11</t>
  </si>
  <si>
    <t>WF.12</t>
  </si>
  <si>
    <t>FF.1</t>
  </si>
  <si>
    <t>FF.2</t>
  </si>
  <si>
    <t>FF.3</t>
  </si>
  <si>
    <t>FF.7</t>
  </si>
  <si>
    <t>FF.8</t>
  </si>
  <si>
    <t>FF.9</t>
  </si>
  <si>
    <t>FF.10</t>
  </si>
  <si>
    <t>FF.11</t>
  </si>
  <si>
    <t>FF.12</t>
  </si>
  <si>
    <t>FF.13</t>
  </si>
  <si>
    <t>FF.14</t>
  </si>
  <si>
    <t>Met Craiova</t>
  </si>
  <si>
    <t>Decopertare placare gips-carton stalp. Stalpul va fi mentinut aparent, iar instalatiile se vor poza la fata acestuia.</t>
  </si>
  <si>
    <t>Reparatii locale pereti existenti</t>
  </si>
  <si>
    <t>Ușă plină simplu canat, finisaj alb, integrata in perete gips-carton, inchidere cu cheie, dimensiune 900x2100mm</t>
  </si>
  <si>
    <t>Met Craiova
Gerflor Creation 30 Bostonian Oak Honey</t>
  </si>
  <si>
    <t xml:space="preserve">Completare cu dale flotanta montate pe picioruse la aceeasi cota finita cu cea existenta in locatie </t>
  </si>
  <si>
    <t>Profil de treapta</t>
  </si>
  <si>
    <t>PARTITII SI TAMPLARIE INTERIOARE</t>
  </si>
  <si>
    <t>PERETI</t>
  </si>
  <si>
    <t>Finisaje Pereti</t>
  </si>
  <si>
    <t>Lucrari Pereti</t>
  </si>
  <si>
    <t>PARDOSELI</t>
  </si>
  <si>
    <t>Lucrari Pardoseli</t>
  </si>
  <si>
    <t>Finisaje Pardoseli</t>
  </si>
  <si>
    <t>CW.1</t>
  </si>
  <si>
    <t>FW.01</t>
  </si>
  <si>
    <t>FW.02</t>
  </si>
  <si>
    <t>FW.03</t>
  </si>
  <si>
    <t>FW.04</t>
  </si>
  <si>
    <t>WW.01</t>
  </si>
  <si>
    <t>GW.1</t>
  </si>
  <si>
    <t>GW.3</t>
  </si>
  <si>
    <t>GW.4</t>
  </si>
  <si>
    <t>Desfacere partitii sticla si tamplarie</t>
  </si>
  <si>
    <t>PMM</t>
  </si>
  <si>
    <t>PMM, inclusiv plinta</t>
  </si>
  <si>
    <t>Arcade, Samsung</t>
  </si>
  <si>
    <t>GLS.01</t>
  </si>
  <si>
    <t>GLS.02</t>
  </si>
  <si>
    <t>GLS.04</t>
  </si>
  <si>
    <t>GLS.05</t>
  </si>
  <si>
    <t>D.01</t>
  </si>
  <si>
    <t>D.03</t>
  </si>
  <si>
    <t>D.05</t>
  </si>
  <si>
    <t>Finisaje Tavane</t>
  </si>
  <si>
    <t>Lucrari Tavane</t>
  </si>
  <si>
    <t>Vopsitorie alba bandourisi plafon casetat</t>
  </si>
  <si>
    <t>CW.2</t>
  </si>
  <si>
    <t>CW.3</t>
  </si>
  <si>
    <t>CW.4</t>
  </si>
  <si>
    <t>CW.5</t>
  </si>
  <si>
    <t>CW.6</t>
  </si>
  <si>
    <t>CW.7</t>
  </si>
  <si>
    <t>CW.8</t>
  </si>
  <si>
    <t>CW.10</t>
  </si>
  <si>
    <t>CW.11</t>
  </si>
  <si>
    <t>CW.12</t>
  </si>
  <si>
    <t>CF.1</t>
  </si>
  <si>
    <t>PWC - Alan</t>
  </si>
  <si>
    <t>COMPARTIMENTARI</t>
  </si>
  <si>
    <t>Pereti gips-carton 7.5cm</t>
  </si>
  <si>
    <t>Pereti gips-carton 10cm</t>
  </si>
  <si>
    <t>Pereti gips-carton 12.5cm</t>
  </si>
  <si>
    <t>Pereti RF</t>
  </si>
  <si>
    <t>DEM.21</t>
  </si>
  <si>
    <t>DEM.22</t>
  </si>
  <si>
    <t>DEM.23</t>
  </si>
  <si>
    <t>GW.5</t>
  </si>
  <si>
    <t>GW.7</t>
  </si>
  <si>
    <t>GW.9</t>
  </si>
  <si>
    <t>GW.11</t>
  </si>
  <si>
    <t>GW.13</t>
  </si>
  <si>
    <t>GW.15</t>
  </si>
  <si>
    <t>GW.17</t>
  </si>
  <si>
    <t>GW.19</t>
  </si>
  <si>
    <t>GW.21</t>
  </si>
  <si>
    <t>Altele - Zidarie</t>
  </si>
  <si>
    <t>Demontare usa din sticla montata in sistem de compartimentare modulara sau in perete de gips carton (inclusiv toc aluminiu si accesorii)</t>
  </si>
  <si>
    <t>Demontare ecran acustic in plafon</t>
  </si>
  <si>
    <t>Demontare folie sablaj</t>
  </si>
  <si>
    <t>Modificare pardoseala flotanta existenta- demontare, taiere, suplimentare structura pe conturul peretilor de compartimentare noi (pereti pe placa);</t>
  </si>
  <si>
    <t>FW.05</t>
  </si>
  <si>
    <t>PWC - Alan 
(vata 4cm)</t>
  </si>
  <si>
    <t>Ranforsare pentru prindere Ecrane TV - Placa GK antismulgere</t>
  </si>
  <si>
    <t>Met Craiova
1 ans</t>
  </si>
  <si>
    <t>Perete gips-carton, grosime 12.5cm, structură CW/UW 75, RANFORSARE suplimentara cu UA, placare dubla pe ambele părți cu plăci standard (GKB), inclusiv vată minerală de 4cm.</t>
  </si>
  <si>
    <t>Ranforsare realizata cu profile UA pentru montaj usi in pereti gips-carton</t>
  </si>
  <si>
    <t>Plafon din gips-carton simplu placat, montat pe structura metalica R30, include gleturie, slefuire; clasa de combustibilitate C0;</t>
  </si>
  <si>
    <t>Plafon din gips-carton simplu placat, montat pe structura metalica, inclusiv structura, gletuire si slefuire</t>
  </si>
  <si>
    <t>W.01</t>
  </si>
  <si>
    <t>W.02</t>
  </si>
  <si>
    <t>W.03</t>
  </si>
  <si>
    <t>W.04</t>
  </si>
  <si>
    <t>W.05</t>
  </si>
  <si>
    <t>Demolare placare perete din gips-carton</t>
  </si>
  <si>
    <t>Demolare perete de zidarie (caramida/BCA)</t>
  </si>
  <si>
    <t xml:space="preserve">Demolare tavan gips-carton </t>
  </si>
  <si>
    <t>Demolare plafon casetat 60x60cm, inclusiv structura</t>
  </si>
  <si>
    <t>1</t>
  </si>
  <si>
    <t>Manopera container-carat, incarcat</t>
  </si>
  <si>
    <t>Demontare partitie sticla simpla, inclusiv profile</t>
  </si>
  <si>
    <t xml:space="preserve">Demontare partitie sticla dubla, inclusiv profile </t>
  </si>
  <si>
    <t xml:space="preserve">Demolare plafon casetat 60x60cm, doar placi casetate </t>
  </si>
  <si>
    <t>Desfacere pardoseala LVT/SPC/mocheta montata prin lipire (cu autoadeziv)</t>
  </si>
  <si>
    <t>Desfacere pardoseala LVT/SPC/mocheta montata prin click/Loose Lay</t>
  </si>
  <si>
    <r>
      <t>Desfacere pardoseala LVT/SPC/mocheta montata prin lipire definitiva cu adeziv, cu evacuare-</t>
    </r>
    <r>
      <rPr>
        <sz val="11"/>
        <color rgb="FFFF0000"/>
        <rFont val="Calibri"/>
        <family val="2"/>
        <scheme val="minor"/>
      </rPr>
      <t>dar nu prea exista si duce la slefuire pardoseala si reparatii-nu se pune in bugetari</t>
    </r>
  </si>
  <si>
    <t>Desfacere pardoseala tehnica flotanta (casete+ploturi)</t>
  </si>
  <si>
    <t>Desfacere gresie / faianta montata cu adeziv pe baza de ciment (inclusiv indepartare adeziv vechi de pe suport)</t>
  </si>
  <si>
    <t>210 inaltime</t>
  </si>
  <si>
    <t>Usa intr-un canat, cu o foaie de sticla; 90x210cm;
Toc din aluminiu, adancime 100 mm, vopsit in camp electrostatic RAL</t>
  </si>
  <si>
    <t>Usa intr-un canat, cu 2 foi de sticla; 90x210cm;
Toc din aluminiu, adancime 100 mm, vopsit in camp electrostatic RAL</t>
  </si>
  <si>
    <t>Usa doua canate, cu o foaie de sticla; 180x210cm;
Toc din aluminiu, adancime 100 mm, vopsit in camp electrostatic RAL</t>
  </si>
  <si>
    <t>Usa interioara dintr-o foaie de sticla securizata 10mm, integrata in perete gips-carton, toc metalic din aluminiu vopsit RAL, 900x2100 mm</t>
  </si>
  <si>
    <t>Plafon mineral casetat, dimensiune 60x60 cm; clasa de combustibilitate C0; montat pe structura metalica R30</t>
  </si>
  <si>
    <t>Tencuiala decorativa de interior</t>
  </si>
  <si>
    <t>Perete din gips-carton EI 60, grosime 12.5cm, structură CW/UW 75, placare dubla pe ambele părți cu plăci rezistente la foc (GKF)</t>
  </si>
  <si>
    <t>Perete din gips-carton EI 90, grosime 12.5cm, structură CW/UW 75, placare dubla pe ambele părți cu plăci rezistente la foc (GKF)</t>
  </si>
  <si>
    <t>Perete din gips-carton EI 30, grosime 10cm, structură CW/UW 75, placare simpla pe ambele părți cu plăci rezistente la foc (GKF)</t>
  </si>
  <si>
    <t>Perete din gips-carton EI 90, grosime 10cm, structură CW/UW 50, placare dubla pe ambele părți cu plăci rezistente la foc (GKF)</t>
  </si>
  <si>
    <t>Perete din gips-carton EI 60, grosime 10cm, structură CW/UW 50, placare dubla pe ambele părți cu plăci rezistente la foc (GKF)</t>
  </si>
  <si>
    <t>Placare din gips-carton EI 30, structură CW/UW 50, 1x12.5mm placă rezistenta la foc (GKF), grosime totală 6.25cm</t>
  </si>
  <si>
    <t>om/zi</t>
  </si>
  <si>
    <t>DEM.2</t>
  </si>
  <si>
    <t>DEM.4</t>
  </si>
  <si>
    <t>DEM.10</t>
  </si>
  <si>
    <t>GW.2</t>
  </si>
  <si>
    <t>GW.6</t>
  </si>
  <si>
    <t>GW.8</t>
  </si>
  <si>
    <t>GW.10</t>
  </si>
  <si>
    <t>GW.12</t>
  </si>
  <si>
    <t>GW.14</t>
  </si>
  <si>
    <t>GW.16</t>
  </si>
  <si>
    <t>GW.18</t>
  </si>
  <si>
    <t>GW.20</t>
  </si>
  <si>
    <t>GW.22</t>
  </si>
  <si>
    <t>GW.23</t>
  </si>
  <si>
    <t>GW.24</t>
  </si>
  <si>
    <t>GW.25</t>
  </si>
  <si>
    <t>GLS.03</t>
  </si>
  <si>
    <t>D.02</t>
  </si>
  <si>
    <t>D.04</t>
  </si>
  <si>
    <t>CW.9</t>
  </si>
  <si>
    <t>CW.13</t>
  </si>
  <si>
    <t>FF.4</t>
  </si>
  <si>
    <t>FF.5</t>
  </si>
  <si>
    <t>FF.6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</si>
</sst>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\-??_);_(@_)"/>
    <numFmt numFmtId="165" formatCode="_([$€-2]\ * #,##0.00_);_([$€-2]\ * \(#,##0.00\);_([$€-2]\ * &quot;-&quot;??_);_(@_)"/>
    <numFmt numFmtId="166" formatCode="[$€-409]\ * #,##0.00\ ;[$€-409]\ * \(#,##0.00\);[$€-409]\ * \-#\ ;\ @\ "/>
  </numFmts>
  <fonts count="1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000000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  <font>
      <b/>
      <sz val="11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  <charset val="238"/>
    </font>
    <font>
      <b/>
      <sz val="14"/>
      <name val="Calibri"/>
      <family val="2"/>
      <scheme val="minor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1" tint="0.499984740745262"/>
        <bgColor indexed="23"/>
      </patternFill>
    </fill>
    <fill>
      <patternFill patternType="solid">
        <fgColor theme="1" tint="0.499984740745262"/>
        <bgColor indexed="55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808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46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vertical="center"/>
    </xf>
    <xf numFmtId="165" fontId="3" fillId="4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left" vertical="center"/>
    </xf>
    <xf numFmtId="165" fontId="4" fillId="2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165" fontId="5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left" vertical="center"/>
    </xf>
    <xf numFmtId="166" fontId="5" fillId="5" borderId="1" xfId="0" applyNumberFormat="1" applyFont="1" applyFill="1" applyBorder="1" applyAlignment="1">
      <alignment horizontal="center" vertical="center" wrapText="1"/>
    </xf>
    <xf numFmtId="166" fontId="10" fillId="5" borderId="1" xfId="0" applyNumberFormat="1" applyFont="1" applyFill="1" applyBorder="1" applyAlignment="1">
      <alignment horizontal="center" vertical="center" wrapText="1"/>
    </xf>
    <xf numFmtId="49" fontId="10" fillId="5" borderId="1" xfId="0" applyNumberFormat="1" applyFont="1" applyFill="1" applyBorder="1" applyAlignment="1">
      <alignment horizontal="center" vertical="center" wrapText="1"/>
    </xf>
    <xf numFmtId="166" fontId="13" fillId="5" borderId="1" xfId="0" applyNumberFormat="1" applyFont="1" applyFill="1" applyBorder="1" applyAlignment="1">
      <alignment horizontal="center" vertical="center" wrapText="1"/>
    </xf>
    <xf numFmtId="165" fontId="10" fillId="5" borderId="1" xfId="0" applyNumberFormat="1" applyFont="1" applyFill="1" applyBorder="1" applyAlignment="1">
      <alignment horizontal="center" vertical="center" wrapText="1"/>
    </xf>
    <xf numFmtId="165" fontId="13" fillId="5" borderId="1" xfId="0" applyNumberFormat="1" applyFont="1" applyFill="1" applyBorder="1" applyAlignment="1">
      <alignment horizontal="center" vertical="center" wrapText="1"/>
    </xf>
    <xf numFmtId="166" fontId="12" fillId="5" borderId="1" xfId="0" applyNumberFormat="1" applyFont="1" applyFill="1" applyBorder="1" applyAlignment="1">
      <alignment horizontal="center" vertical="center" wrapText="1"/>
    </xf>
    <xf numFmtId="49" fontId="10" fillId="5" borderId="1" xfId="0" applyNumberFormat="1" applyFont="1" applyFill="1" applyBorder="1" applyAlignment="1">
      <alignment horizontal="left" vertical="center" wrapText="1"/>
    </xf>
    <xf numFmtId="49" fontId="13" fillId="5" borderId="1" xfId="0" applyNumberFormat="1" applyFont="1" applyFill="1" applyBorder="1" applyAlignment="1">
      <alignment horizontal="center" vertical="center" wrapText="1"/>
    </xf>
    <xf numFmtId="49" fontId="13" fillId="5" borderId="1" xfId="0" applyNumberFormat="1" applyFont="1" applyFill="1" applyBorder="1" applyAlignment="1">
      <alignment horizontal="left" vertical="center" wrapText="1"/>
    </xf>
    <xf numFmtId="165" fontId="12" fillId="5" borderId="1" xfId="0" applyNumberFormat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/>
    </xf>
    <xf numFmtId="49" fontId="15" fillId="7" borderId="1" xfId="0" applyNumberFormat="1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left" vertical="center"/>
    </xf>
    <xf numFmtId="49" fontId="4" fillId="6" borderId="2" xfId="0" applyNumberFormat="1" applyFont="1" applyFill="1" applyBorder="1" applyAlignment="1">
      <alignment horizontal="center" vertical="center"/>
    </xf>
    <xf numFmtId="49" fontId="11" fillId="2" borderId="2" xfId="0" applyNumberFormat="1" applyFont="1" applyFill="1" applyBorder="1" applyAlignment="1">
      <alignment horizontal="left" vertical="center"/>
    </xf>
    <xf numFmtId="49" fontId="4" fillId="2" borderId="2" xfId="0" applyNumberFormat="1" applyFont="1" applyFill="1" applyBorder="1" applyAlignment="1">
      <alignment horizontal="center" vertical="center"/>
    </xf>
    <xf numFmtId="165" fontId="4" fillId="2" borderId="2" xfId="0" applyNumberFormat="1" applyFont="1" applyFill="1" applyBorder="1" applyAlignment="1">
      <alignment horizontal="center" vertical="center" wrapText="1"/>
    </xf>
    <xf numFmtId="49" fontId="15" fillId="7" borderId="3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vertical="center"/>
    </xf>
    <xf numFmtId="49" fontId="3" fillId="3" borderId="3" xfId="0" applyNumberFormat="1" applyFont="1" applyFill="1" applyBorder="1" applyAlignment="1">
      <alignment horizontal="center" vertical="center"/>
    </xf>
    <xf numFmtId="165" fontId="3" fillId="4" borderId="3" xfId="0" applyNumberFormat="1" applyFont="1" applyFill="1" applyBorder="1" applyAlignment="1">
      <alignment horizontal="center" vertical="center" wrapText="1"/>
    </xf>
    <xf numFmtId="0" fontId="0" fillId="0" borderId="1" xfId="0" applyBorder="1"/>
    <xf numFmtId="49" fontId="16" fillId="0" borderId="1" xfId="0" applyNumberFormat="1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8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7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A31192D-51F2-465B-900B-6682CD780482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549a7cc8-4d03-4c85-865f-5e053850293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7"/>
  <sheetViews>
    <sheetView tabSelected="1" zoomScale="80" zoomScaleNormal="80" workbookViewId="0">
      <selection activeCell="I7" sqref="I7"/>
    </sheetView>
  </sheetViews>
  <sheetFormatPr defaultRowHeight="15" outlineLevelRow="1" x14ac:dyDescent="0.25"/>
  <cols>
    <col min="1" max="1" width="12.28515625" customWidth="1"/>
    <col min="2" max="2" width="80.28515625" customWidth="1"/>
    <col min="3" max="3" width="10.140625" style="17" customWidth="1"/>
    <col min="4" max="4" width="10.42578125" style="17" customWidth="1"/>
    <col min="5" max="5" width="11.85546875" style="17" customWidth="1"/>
    <col min="6" max="6" width="11.28515625" style="17" customWidth="1"/>
    <col min="7" max="7" width="20.85546875" style="17" customWidth="1"/>
    <col min="8" max="8" width="3" customWidth="1"/>
    <col min="9" max="9" width="11.85546875" style="17" customWidth="1"/>
    <col min="10" max="10" width="15.140625" style="17" customWidth="1"/>
  </cols>
  <sheetData>
    <row r="1" spans="1:10" ht="60" x14ac:dyDescent="0.25">
      <c r="A1" s="9" t="s">
        <v>0</v>
      </c>
      <c r="B1" s="10" t="s">
        <v>1</v>
      </c>
      <c r="C1" s="9" t="s">
        <v>2</v>
      </c>
      <c r="D1" s="11" t="s">
        <v>3</v>
      </c>
      <c r="E1" s="9" t="s">
        <v>4</v>
      </c>
      <c r="F1" s="9" t="s">
        <v>5</v>
      </c>
      <c r="G1" s="9" t="s">
        <v>86</v>
      </c>
      <c r="I1" s="9" t="s">
        <v>4</v>
      </c>
      <c r="J1" s="9" t="s">
        <v>86</v>
      </c>
    </row>
    <row r="2" spans="1:10" ht="18.75" x14ac:dyDescent="0.25">
      <c r="A2" s="1" t="s">
        <v>92</v>
      </c>
      <c r="B2" s="2" t="s">
        <v>6</v>
      </c>
      <c r="C2" s="1"/>
      <c r="D2" s="1"/>
      <c r="E2" s="3"/>
      <c r="F2" s="3"/>
      <c r="G2" s="3"/>
      <c r="I2" s="3"/>
      <c r="J2" s="3"/>
    </row>
    <row r="3" spans="1:10" outlineLevel="1" x14ac:dyDescent="0.25">
      <c r="A3" s="4" t="s">
        <v>93</v>
      </c>
      <c r="B3" s="5" t="s">
        <v>7</v>
      </c>
      <c r="C3" s="4"/>
      <c r="D3" s="4"/>
      <c r="E3" s="6"/>
      <c r="F3" s="6"/>
      <c r="G3" s="6"/>
      <c r="I3" s="6"/>
      <c r="J3" s="6"/>
    </row>
    <row r="4" spans="1:10" outlineLevel="1" x14ac:dyDescent="0.25">
      <c r="A4" s="22" t="s">
        <v>94</v>
      </c>
      <c r="B4" s="27" t="s">
        <v>219</v>
      </c>
      <c r="C4" s="22" t="s">
        <v>16</v>
      </c>
      <c r="D4" s="7">
        <v>1</v>
      </c>
      <c r="E4" s="21"/>
      <c r="F4" s="24">
        <f t="shared" ref="F4:F7" si="0">D4*E4</f>
        <v>0</v>
      </c>
      <c r="G4" s="24"/>
      <c r="I4" s="21"/>
      <c r="J4" s="24"/>
    </row>
    <row r="5" spans="1:10" outlineLevel="1" x14ac:dyDescent="0.25">
      <c r="A5" s="22" t="s">
        <v>246</v>
      </c>
      <c r="B5" s="27" t="s">
        <v>218</v>
      </c>
      <c r="C5" s="22" t="s">
        <v>8</v>
      </c>
      <c r="D5" s="7">
        <v>1</v>
      </c>
      <c r="E5" s="21">
        <v>20</v>
      </c>
      <c r="F5" s="24">
        <f t="shared" si="0"/>
        <v>20</v>
      </c>
      <c r="G5" s="24" t="s">
        <v>182</v>
      </c>
      <c r="I5" s="21"/>
      <c r="J5" s="24"/>
    </row>
    <row r="6" spans="1:10" outlineLevel="1" x14ac:dyDescent="0.25">
      <c r="A6" s="22" t="s">
        <v>95</v>
      </c>
      <c r="B6" s="27" t="s">
        <v>13</v>
      </c>
      <c r="C6" s="22" t="s">
        <v>10</v>
      </c>
      <c r="D6" s="8">
        <v>1</v>
      </c>
      <c r="E6" s="21">
        <v>240</v>
      </c>
      <c r="F6" s="24">
        <f t="shared" si="0"/>
        <v>240</v>
      </c>
      <c r="G6" s="24" t="s">
        <v>91</v>
      </c>
      <c r="I6" s="21"/>
      <c r="J6" s="24"/>
    </row>
    <row r="7" spans="1:10" ht="30" outlineLevel="1" x14ac:dyDescent="0.25">
      <c r="A7" s="22" t="s">
        <v>247</v>
      </c>
      <c r="B7" s="27" t="s">
        <v>135</v>
      </c>
      <c r="C7" s="22" t="s">
        <v>8</v>
      </c>
      <c r="D7" s="8">
        <v>1</v>
      </c>
      <c r="E7" s="21">
        <v>24.7</v>
      </c>
      <c r="F7" s="24">
        <f t="shared" si="0"/>
        <v>24.7</v>
      </c>
      <c r="G7" s="24" t="s">
        <v>134</v>
      </c>
      <c r="I7" s="21"/>
      <c r="J7" s="24"/>
    </row>
    <row r="8" spans="1:10" outlineLevel="1" x14ac:dyDescent="0.25">
      <c r="A8" s="31" t="s">
        <v>93</v>
      </c>
      <c r="B8" s="5" t="s">
        <v>9</v>
      </c>
      <c r="C8" s="4"/>
      <c r="D8" s="4"/>
      <c r="E8" s="4"/>
      <c r="F8" s="4"/>
      <c r="G8" s="4"/>
      <c r="I8" s="4"/>
      <c r="J8" s="4"/>
    </row>
    <row r="9" spans="1:10" outlineLevel="1" x14ac:dyDescent="0.25">
      <c r="A9" s="22" t="s">
        <v>96</v>
      </c>
      <c r="B9" s="27" t="s">
        <v>220</v>
      </c>
      <c r="C9" s="22" t="s">
        <v>8</v>
      </c>
      <c r="D9" s="7">
        <v>1</v>
      </c>
      <c r="E9" s="21">
        <v>22</v>
      </c>
      <c r="F9" s="24">
        <f t="shared" ref="F9:F13" si="1">D9*E9</f>
        <v>22</v>
      </c>
      <c r="G9" s="24"/>
      <c r="I9" s="26"/>
      <c r="J9" s="24"/>
    </row>
    <row r="10" spans="1:10" outlineLevel="1" x14ac:dyDescent="0.25">
      <c r="A10" s="22" t="s">
        <v>97</v>
      </c>
      <c r="B10" s="27" t="s">
        <v>221</v>
      </c>
      <c r="C10" s="22" t="s">
        <v>8</v>
      </c>
      <c r="D10" s="7">
        <v>1</v>
      </c>
      <c r="E10" s="21">
        <v>15</v>
      </c>
      <c r="F10" s="24">
        <f t="shared" si="1"/>
        <v>15</v>
      </c>
      <c r="G10" s="24" t="s">
        <v>182</v>
      </c>
      <c r="I10" s="21"/>
      <c r="J10" s="24"/>
    </row>
    <row r="11" spans="1:10" outlineLevel="1" x14ac:dyDescent="0.25">
      <c r="A11" s="22" t="s">
        <v>98</v>
      </c>
      <c r="B11" s="27" t="s">
        <v>226</v>
      </c>
      <c r="C11" s="22" t="s">
        <v>8</v>
      </c>
      <c r="D11" s="7">
        <v>1</v>
      </c>
      <c r="E11" s="21">
        <v>17</v>
      </c>
      <c r="F11" s="24">
        <f t="shared" si="1"/>
        <v>17</v>
      </c>
      <c r="G11" s="24" t="s">
        <v>158</v>
      </c>
      <c r="I11" s="21"/>
      <c r="J11" s="24"/>
    </row>
    <row r="12" spans="1:10" outlineLevel="1" x14ac:dyDescent="0.25">
      <c r="A12" s="22" t="s">
        <v>99</v>
      </c>
      <c r="B12" s="27" t="s">
        <v>29</v>
      </c>
      <c r="C12" s="22" t="s">
        <v>8</v>
      </c>
      <c r="D12" s="7">
        <v>1</v>
      </c>
      <c r="E12" s="21"/>
      <c r="F12" s="24">
        <f t="shared" si="1"/>
        <v>0</v>
      </c>
      <c r="G12" s="24"/>
      <c r="I12" s="21"/>
      <c r="J12" s="24"/>
    </row>
    <row r="13" spans="1:10" outlineLevel="1" x14ac:dyDescent="0.25">
      <c r="A13" s="22" t="s">
        <v>100</v>
      </c>
      <c r="B13" s="27" t="s">
        <v>202</v>
      </c>
      <c r="C13" s="22" t="s">
        <v>8</v>
      </c>
      <c r="D13" s="7">
        <v>1</v>
      </c>
      <c r="E13" s="21">
        <v>20</v>
      </c>
      <c r="F13" s="24">
        <f t="shared" si="1"/>
        <v>20</v>
      </c>
      <c r="G13" s="24"/>
      <c r="I13" s="21"/>
      <c r="J13" s="24"/>
    </row>
    <row r="14" spans="1:10" outlineLevel="1" x14ac:dyDescent="0.25">
      <c r="A14" s="31" t="s">
        <v>93</v>
      </c>
      <c r="B14" s="5" t="s">
        <v>11</v>
      </c>
      <c r="C14" s="4"/>
      <c r="D14" s="4"/>
      <c r="E14" s="6"/>
      <c r="F14" s="6"/>
      <c r="G14" s="6"/>
      <c r="I14" s="6"/>
      <c r="J14" s="6"/>
    </row>
    <row r="15" spans="1:10" outlineLevel="1" x14ac:dyDescent="0.25">
      <c r="A15" s="22" t="s">
        <v>248</v>
      </c>
      <c r="B15" s="27" t="s">
        <v>228</v>
      </c>
      <c r="C15" s="22" t="s">
        <v>8</v>
      </c>
      <c r="D15" s="8">
        <v>1</v>
      </c>
      <c r="E15" s="21">
        <v>5</v>
      </c>
      <c r="F15" s="24">
        <f t="shared" ref="F15:F21" si="2">D15*E15</f>
        <v>5</v>
      </c>
      <c r="G15" s="24"/>
      <c r="I15" s="21"/>
      <c r="J15" s="24"/>
    </row>
    <row r="16" spans="1:10" ht="30" outlineLevel="1" x14ac:dyDescent="0.25">
      <c r="A16" s="22" t="s">
        <v>101</v>
      </c>
      <c r="B16" s="27" t="s">
        <v>227</v>
      </c>
      <c r="C16" s="22" t="s">
        <v>8</v>
      </c>
      <c r="D16" s="8">
        <v>1</v>
      </c>
      <c r="E16" s="21">
        <v>3</v>
      </c>
      <c r="F16" s="24">
        <f t="shared" si="2"/>
        <v>3</v>
      </c>
      <c r="G16" s="24" t="s">
        <v>182</v>
      </c>
      <c r="I16" s="21">
        <v>3.9</v>
      </c>
      <c r="J16" s="24" t="s">
        <v>159</v>
      </c>
    </row>
    <row r="17" spans="1:10" ht="45" outlineLevel="1" x14ac:dyDescent="0.25">
      <c r="A17" s="22" t="s">
        <v>102</v>
      </c>
      <c r="B17" s="27" t="s">
        <v>229</v>
      </c>
      <c r="C17" s="22" t="s">
        <v>8</v>
      </c>
      <c r="D17" s="8">
        <v>1</v>
      </c>
      <c r="E17" s="21">
        <v>7</v>
      </c>
      <c r="F17" s="24">
        <f t="shared" si="2"/>
        <v>7</v>
      </c>
      <c r="G17" s="24"/>
      <c r="I17" s="21"/>
      <c r="J17" s="24"/>
    </row>
    <row r="18" spans="1:10" outlineLevel="1" x14ac:dyDescent="0.25">
      <c r="A18" s="22" t="s">
        <v>103</v>
      </c>
      <c r="B18" s="27" t="s">
        <v>230</v>
      </c>
      <c r="C18" s="22" t="s">
        <v>8</v>
      </c>
      <c r="D18" s="8">
        <v>1</v>
      </c>
      <c r="E18" s="21">
        <v>15</v>
      </c>
      <c r="F18" s="24">
        <f t="shared" si="2"/>
        <v>15</v>
      </c>
      <c r="G18" s="24"/>
      <c r="I18" s="21"/>
      <c r="J18" s="24"/>
    </row>
    <row r="19" spans="1:10" ht="30" outlineLevel="1" x14ac:dyDescent="0.25">
      <c r="A19" s="22" t="s">
        <v>104</v>
      </c>
      <c r="B19" s="27" t="s">
        <v>231</v>
      </c>
      <c r="C19" s="22" t="s">
        <v>8</v>
      </c>
      <c r="D19" s="8">
        <v>1</v>
      </c>
      <c r="E19" s="21">
        <v>15</v>
      </c>
      <c r="F19" s="24">
        <f t="shared" si="2"/>
        <v>15</v>
      </c>
      <c r="G19" s="24"/>
      <c r="I19" s="21"/>
      <c r="J19" s="24"/>
    </row>
    <row r="20" spans="1:10" outlineLevel="1" x14ac:dyDescent="0.25">
      <c r="A20" s="22" t="s">
        <v>105</v>
      </c>
      <c r="B20" s="27" t="s">
        <v>44</v>
      </c>
      <c r="C20" s="22" t="s">
        <v>45</v>
      </c>
      <c r="D20" s="8">
        <v>1</v>
      </c>
      <c r="E20" s="21">
        <v>1</v>
      </c>
      <c r="F20" s="24">
        <f t="shared" si="2"/>
        <v>1</v>
      </c>
      <c r="G20" s="24"/>
      <c r="I20" s="21"/>
      <c r="J20" s="24"/>
    </row>
    <row r="21" spans="1:10" ht="30" outlineLevel="1" x14ac:dyDescent="0.25">
      <c r="A21" s="22" t="s">
        <v>106</v>
      </c>
      <c r="B21" s="27" t="s">
        <v>30</v>
      </c>
      <c r="C21" s="22" t="s">
        <v>8</v>
      </c>
      <c r="D21" s="8">
        <v>1</v>
      </c>
      <c r="E21" s="20">
        <v>10</v>
      </c>
      <c r="F21" s="24">
        <f t="shared" si="2"/>
        <v>10</v>
      </c>
      <c r="G21" s="24"/>
      <c r="I21" s="21"/>
      <c r="J21" s="24"/>
    </row>
    <row r="22" spans="1:10" outlineLevel="1" x14ac:dyDescent="0.25">
      <c r="A22" s="31" t="s">
        <v>93</v>
      </c>
      <c r="B22" s="19" t="s">
        <v>157</v>
      </c>
      <c r="C22" s="4"/>
      <c r="D22" s="4"/>
      <c r="E22" s="6"/>
      <c r="F22" s="6"/>
      <c r="G22" s="6"/>
      <c r="I22" s="6"/>
      <c r="J22" s="6"/>
    </row>
    <row r="23" spans="1:10" outlineLevel="1" x14ac:dyDescent="0.25">
      <c r="A23" s="22" t="s">
        <v>107</v>
      </c>
      <c r="B23" s="27" t="s">
        <v>224</v>
      </c>
      <c r="C23" s="22" t="s">
        <v>8</v>
      </c>
      <c r="D23" s="8">
        <v>1</v>
      </c>
      <c r="E23" s="21">
        <v>60</v>
      </c>
      <c r="F23" s="24">
        <f>D23*E23</f>
        <v>60</v>
      </c>
      <c r="G23" s="24" t="s">
        <v>182</v>
      </c>
      <c r="I23" s="21"/>
      <c r="J23" s="24"/>
    </row>
    <row r="24" spans="1:10" outlineLevel="1" x14ac:dyDescent="0.25">
      <c r="A24" s="22" t="s">
        <v>108</v>
      </c>
      <c r="B24" s="27" t="s">
        <v>225</v>
      </c>
      <c r="C24" s="22" t="s">
        <v>8</v>
      </c>
      <c r="D24" s="8">
        <v>1</v>
      </c>
      <c r="E24" s="21">
        <v>75</v>
      </c>
      <c r="F24" s="24">
        <f>D24*E24</f>
        <v>75</v>
      </c>
      <c r="G24" s="24"/>
      <c r="I24" s="21"/>
      <c r="J24" s="24"/>
    </row>
    <row r="25" spans="1:10" ht="30" outlineLevel="1" x14ac:dyDescent="0.25">
      <c r="A25" s="22" t="s">
        <v>109</v>
      </c>
      <c r="B25" s="27" t="s">
        <v>201</v>
      </c>
      <c r="C25" s="22" t="s">
        <v>12</v>
      </c>
      <c r="D25" s="8">
        <v>1</v>
      </c>
      <c r="E25" s="21">
        <v>80</v>
      </c>
      <c r="F25" s="24">
        <f>D25*E25</f>
        <v>80</v>
      </c>
      <c r="G25" s="24" t="s">
        <v>182</v>
      </c>
      <c r="I25" s="21"/>
      <c r="J25" s="24"/>
    </row>
    <row r="26" spans="1:10" outlineLevel="1" x14ac:dyDescent="0.25">
      <c r="A26" s="22" t="s">
        <v>110</v>
      </c>
      <c r="B26" s="27" t="s">
        <v>85</v>
      </c>
      <c r="C26" s="22" t="s">
        <v>12</v>
      </c>
      <c r="D26" s="8">
        <v>1</v>
      </c>
      <c r="E26" s="21">
        <v>80</v>
      </c>
      <c r="F26" s="24">
        <f>D26*E26</f>
        <v>80</v>
      </c>
      <c r="G26" s="24" t="s">
        <v>91</v>
      </c>
      <c r="I26" s="21">
        <v>74.099999999999994</v>
      </c>
      <c r="J26" s="24" t="s">
        <v>134</v>
      </c>
    </row>
    <row r="27" spans="1:10" outlineLevel="1" x14ac:dyDescent="0.25">
      <c r="A27" s="22" t="s">
        <v>188</v>
      </c>
      <c r="B27" s="27" t="s">
        <v>203</v>
      </c>
      <c r="C27" s="22" t="s">
        <v>8</v>
      </c>
      <c r="D27" s="8">
        <v>1</v>
      </c>
      <c r="E27" s="21">
        <v>15</v>
      </c>
      <c r="F27" s="24">
        <f>D27*E27</f>
        <v>15</v>
      </c>
      <c r="G27" s="24"/>
      <c r="I27" s="21"/>
      <c r="J27" s="24"/>
    </row>
    <row r="28" spans="1:10" outlineLevel="1" x14ac:dyDescent="0.25">
      <c r="A28" s="35" t="s">
        <v>93</v>
      </c>
      <c r="B28" s="36" t="s">
        <v>84</v>
      </c>
      <c r="C28" s="37"/>
      <c r="D28" s="37"/>
      <c r="E28" s="38"/>
      <c r="F28" s="38"/>
      <c r="G28" s="38"/>
      <c r="I28" s="38"/>
      <c r="J28" s="38"/>
    </row>
    <row r="29" spans="1:10" outlineLevel="1" x14ac:dyDescent="0.25">
      <c r="A29" s="22" t="s">
        <v>189</v>
      </c>
      <c r="B29" s="34" t="s">
        <v>223</v>
      </c>
      <c r="C29" s="44" t="s">
        <v>245</v>
      </c>
      <c r="D29" s="44" t="s">
        <v>222</v>
      </c>
      <c r="E29" s="45">
        <v>70</v>
      </c>
      <c r="F29" s="24">
        <f>D29*E29</f>
        <v>70</v>
      </c>
      <c r="G29" s="33"/>
      <c r="H29" s="43"/>
      <c r="I29" s="33"/>
      <c r="J29" s="33"/>
    </row>
    <row r="30" spans="1:10" outlineLevel="1" x14ac:dyDescent="0.25">
      <c r="A30" s="22" t="s">
        <v>190</v>
      </c>
      <c r="B30" s="27" t="s">
        <v>15</v>
      </c>
      <c r="C30" s="22" t="s">
        <v>16</v>
      </c>
      <c r="D30" s="8">
        <v>1</v>
      </c>
      <c r="E30" s="21">
        <v>100</v>
      </c>
      <c r="F30" s="24">
        <f>D30*E30</f>
        <v>100</v>
      </c>
      <c r="G30" s="24"/>
      <c r="H30" s="43"/>
      <c r="I30" s="21"/>
      <c r="J30" s="24"/>
    </row>
    <row r="31" spans="1:10" ht="18.75" x14ac:dyDescent="0.25">
      <c r="A31" s="39" t="s">
        <v>92</v>
      </c>
      <c r="B31" s="40" t="s">
        <v>183</v>
      </c>
      <c r="C31" s="41"/>
      <c r="D31" s="41"/>
      <c r="E31" s="42"/>
      <c r="F31" s="42"/>
      <c r="G31" s="42"/>
      <c r="I31" s="42"/>
      <c r="J31" s="42"/>
    </row>
    <row r="32" spans="1:10" outlineLevel="1" x14ac:dyDescent="0.25">
      <c r="A32" s="31" t="s">
        <v>93</v>
      </c>
      <c r="B32" s="15" t="s">
        <v>31</v>
      </c>
      <c r="C32" s="12"/>
      <c r="D32" s="12"/>
      <c r="E32" s="12"/>
      <c r="F32" s="12"/>
      <c r="G32" s="12"/>
      <c r="I32" s="12"/>
      <c r="J32" s="12"/>
    </row>
    <row r="33" spans="1:10" ht="30" outlineLevel="1" x14ac:dyDescent="0.25">
      <c r="A33" s="28" t="s">
        <v>154</v>
      </c>
      <c r="B33" s="29" t="s">
        <v>81</v>
      </c>
      <c r="C33" s="28" t="s">
        <v>8</v>
      </c>
      <c r="D33" s="14">
        <v>1</v>
      </c>
      <c r="E33" s="23">
        <v>50</v>
      </c>
      <c r="F33" s="24">
        <f>D33*E33</f>
        <v>50</v>
      </c>
      <c r="G33" s="25"/>
      <c r="I33" s="23"/>
      <c r="J33" s="25"/>
    </row>
    <row r="34" spans="1:10" ht="30" outlineLevel="1" x14ac:dyDescent="0.25">
      <c r="A34" s="28" t="s">
        <v>249</v>
      </c>
      <c r="B34" s="29" t="s">
        <v>82</v>
      </c>
      <c r="C34" s="28" t="s">
        <v>8</v>
      </c>
      <c r="D34" s="14">
        <v>1</v>
      </c>
      <c r="E34" s="23">
        <v>55</v>
      </c>
      <c r="F34" s="25">
        <f>D34*E34</f>
        <v>55</v>
      </c>
      <c r="G34" s="25"/>
      <c r="I34" s="23"/>
      <c r="J34" s="25"/>
    </row>
    <row r="35" spans="1:10" ht="30" outlineLevel="1" x14ac:dyDescent="0.25">
      <c r="A35" s="28" t="s">
        <v>155</v>
      </c>
      <c r="B35" s="29" t="s">
        <v>83</v>
      </c>
      <c r="C35" s="28" t="s">
        <v>8</v>
      </c>
      <c r="D35" s="14">
        <v>1</v>
      </c>
      <c r="E35" s="23">
        <v>60</v>
      </c>
      <c r="F35" s="25">
        <f>D35*E35</f>
        <v>60</v>
      </c>
      <c r="G35" s="25"/>
      <c r="I35" s="23"/>
      <c r="J35" s="25"/>
    </row>
    <row r="36" spans="1:10" outlineLevel="1" x14ac:dyDescent="0.25">
      <c r="A36" s="31" t="s">
        <v>93</v>
      </c>
      <c r="B36" s="15" t="s">
        <v>184</v>
      </c>
      <c r="C36" s="12"/>
      <c r="D36" s="12"/>
      <c r="E36" s="12"/>
      <c r="F36" s="12"/>
      <c r="G36" s="12"/>
      <c r="I36" s="12"/>
      <c r="J36" s="12"/>
    </row>
    <row r="37" spans="1:10" ht="30" outlineLevel="1" x14ac:dyDescent="0.25">
      <c r="A37" s="28" t="s">
        <v>156</v>
      </c>
      <c r="B37" s="29" t="s">
        <v>32</v>
      </c>
      <c r="C37" s="28" t="s">
        <v>8</v>
      </c>
      <c r="D37" s="14">
        <v>1</v>
      </c>
      <c r="E37" s="23">
        <v>45</v>
      </c>
      <c r="F37" s="25">
        <f>D37*E37</f>
        <v>45</v>
      </c>
      <c r="G37" s="24" t="s">
        <v>91</v>
      </c>
      <c r="I37" s="23"/>
      <c r="J37" s="24"/>
    </row>
    <row r="38" spans="1:10" outlineLevel="1" x14ac:dyDescent="0.25">
      <c r="A38" s="31" t="s">
        <v>93</v>
      </c>
      <c r="B38" s="15" t="s">
        <v>185</v>
      </c>
      <c r="C38" s="12"/>
      <c r="D38" s="12"/>
      <c r="E38" s="12"/>
      <c r="F38" s="12"/>
      <c r="G38" s="12"/>
      <c r="I38" s="12"/>
      <c r="J38" s="12"/>
    </row>
    <row r="39" spans="1:10" ht="30" outlineLevel="1" x14ac:dyDescent="0.25">
      <c r="A39" s="28" t="s">
        <v>191</v>
      </c>
      <c r="B39" s="29" t="s">
        <v>33</v>
      </c>
      <c r="C39" s="28" t="s">
        <v>8</v>
      </c>
      <c r="D39" s="14">
        <v>1</v>
      </c>
      <c r="E39" s="23">
        <v>55</v>
      </c>
      <c r="F39" s="25">
        <f t="shared" ref="F39:F42" si="3">D39*E39</f>
        <v>55</v>
      </c>
      <c r="G39" s="25"/>
      <c r="I39" s="23"/>
      <c r="J39" s="25"/>
    </row>
    <row r="40" spans="1:10" ht="30" outlineLevel="1" x14ac:dyDescent="0.25">
      <c r="A40" s="28" t="s">
        <v>250</v>
      </c>
      <c r="B40" s="29" t="s">
        <v>34</v>
      </c>
      <c r="C40" s="28" t="s">
        <v>8</v>
      </c>
      <c r="D40" s="14">
        <v>1</v>
      </c>
      <c r="E40" s="23">
        <v>58</v>
      </c>
      <c r="F40" s="25">
        <f t="shared" si="3"/>
        <v>58</v>
      </c>
      <c r="G40" s="25"/>
      <c r="I40" s="23"/>
      <c r="J40" s="25"/>
    </row>
    <row r="41" spans="1:10" ht="30" outlineLevel="1" x14ac:dyDescent="0.25">
      <c r="A41" s="28" t="s">
        <v>192</v>
      </c>
      <c r="B41" s="29" t="s">
        <v>35</v>
      </c>
      <c r="C41" s="28" t="s">
        <v>8</v>
      </c>
      <c r="D41" s="14">
        <v>1</v>
      </c>
      <c r="E41" s="23">
        <v>58</v>
      </c>
      <c r="F41" s="25">
        <f t="shared" si="3"/>
        <v>58</v>
      </c>
      <c r="G41" s="24" t="s">
        <v>134</v>
      </c>
      <c r="I41" s="23"/>
      <c r="J41" s="25"/>
    </row>
    <row r="42" spans="1:10" ht="30" outlineLevel="1" x14ac:dyDescent="0.25">
      <c r="A42" s="28" t="s">
        <v>251</v>
      </c>
      <c r="B42" s="29" t="s">
        <v>36</v>
      </c>
      <c r="C42" s="22" t="s">
        <v>8</v>
      </c>
      <c r="D42" s="14">
        <v>1</v>
      </c>
      <c r="E42" s="23">
        <v>60</v>
      </c>
      <c r="F42" s="25">
        <f t="shared" si="3"/>
        <v>60</v>
      </c>
      <c r="G42" s="25"/>
      <c r="I42" s="23"/>
      <c r="J42" s="25"/>
    </row>
    <row r="43" spans="1:10" outlineLevel="1" x14ac:dyDescent="0.25">
      <c r="A43" s="31" t="s">
        <v>93</v>
      </c>
      <c r="B43" s="15" t="s">
        <v>186</v>
      </c>
      <c r="C43" s="12"/>
      <c r="D43" s="12"/>
      <c r="E43" s="12"/>
      <c r="F43" s="12"/>
      <c r="G43" s="12"/>
      <c r="I43" s="12"/>
      <c r="J43" s="12"/>
    </row>
    <row r="44" spans="1:10" ht="30" outlineLevel="1" x14ac:dyDescent="0.25">
      <c r="A44" s="28" t="s">
        <v>193</v>
      </c>
      <c r="B44" s="29" t="s">
        <v>37</v>
      </c>
      <c r="C44" s="28" t="s">
        <v>8</v>
      </c>
      <c r="D44" s="14">
        <v>1</v>
      </c>
      <c r="E44" s="23">
        <v>58</v>
      </c>
      <c r="F44" s="25">
        <f t="shared" ref="F44:F47" si="4">D44*E44</f>
        <v>58</v>
      </c>
      <c r="G44" s="24" t="s">
        <v>206</v>
      </c>
      <c r="I44" s="23">
        <v>93.9</v>
      </c>
      <c r="J44" s="24" t="s">
        <v>134</v>
      </c>
    </row>
    <row r="45" spans="1:10" ht="30" outlineLevel="1" x14ac:dyDescent="0.25">
      <c r="A45" s="28" t="s">
        <v>252</v>
      </c>
      <c r="B45" s="29" t="s">
        <v>38</v>
      </c>
      <c r="C45" s="28" t="s">
        <v>8</v>
      </c>
      <c r="D45" s="14">
        <v>1</v>
      </c>
      <c r="E45" s="23">
        <v>60</v>
      </c>
      <c r="F45" s="25">
        <f t="shared" si="4"/>
        <v>60</v>
      </c>
      <c r="G45" s="25"/>
      <c r="I45" s="23"/>
      <c r="J45" s="25"/>
    </row>
    <row r="46" spans="1:10" ht="30" outlineLevel="1" x14ac:dyDescent="0.25">
      <c r="A46" s="28" t="s">
        <v>194</v>
      </c>
      <c r="B46" s="29" t="s">
        <v>39</v>
      </c>
      <c r="C46" s="28" t="s">
        <v>8</v>
      </c>
      <c r="D46" s="14">
        <v>1</v>
      </c>
      <c r="E46" s="23">
        <v>60</v>
      </c>
      <c r="F46" s="25">
        <f t="shared" si="4"/>
        <v>60</v>
      </c>
      <c r="G46" s="25"/>
      <c r="I46" s="23"/>
      <c r="J46" s="25"/>
    </row>
    <row r="47" spans="1:10" ht="30" outlineLevel="1" x14ac:dyDescent="0.25">
      <c r="A47" s="28" t="s">
        <v>253</v>
      </c>
      <c r="B47" s="29" t="s">
        <v>40</v>
      </c>
      <c r="C47" s="28" t="s">
        <v>8</v>
      </c>
      <c r="D47" s="14">
        <v>1</v>
      </c>
      <c r="E47" s="23">
        <v>63</v>
      </c>
      <c r="F47" s="25">
        <f t="shared" si="4"/>
        <v>63</v>
      </c>
      <c r="G47" s="25"/>
      <c r="I47" s="23"/>
      <c r="J47" s="25"/>
    </row>
    <row r="48" spans="1:10" outlineLevel="1" x14ac:dyDescent="0.25">
      <c r="A48" s="31" t="s">
        <v>93</v>
      </c>
      <c r="B48" s="15" t="s">
        <v>187</v>
      </c>
      <c r="C48" s="12"/>
      <c r="D48" s="12"/>
      <c r="E48" s="12"/>
      <c r="F48" s="12"/>
      <c r="G48" s="12"/>
      <c r="I48" s="12"/>
      <c r="J48" s="12"/>
    </row>
    <row r="49" spans="1:10" ht="30" outlineLevel="1" x14ac:dyDescent="0.25">
      <c r="A49" s="28" t="s">
        <v>195</v>
      </c>
      <c r="B49" s="29" t="s">
        <v>244</v>
      </c>
      <c r="C49" s="28" t="s">
        <v>8</v>
      </c>
      <c r="D49" s="14">
        <v>1</v>
      </c>
      <c r="E49" s="23">
        <v>55</v>
      </c>
      <c r="F49" s="25">
        <f t="shared" ref="F49:F52" si="5">D49*E49</f>
        <v>55</v>
      </c>
      <c r="G49" s="25"/>
      <c r="I49" s="23"/>
      <c r="J49" s="25"/>
    </row>
    <row r="50" spans="1:10" ht="30" outlineLevel="1" x14ac:dyDescent="0.25">
      <c r="A50" s="28" t="s">
        <v>254</v>
      </c>
      <c r="B50" s="29" t="s">
        <v>243</v>
      </c>
      <c r="C50" s="28" t="s">
        <v>8</v>
      </c>
      <c r="D50" s="14">
        <v>1</v>
      </c>
      <c r="E50" s="23">
        <v>60</v>
      </c>
      <c r="F50" s="25">
        <f t="shared" si="5"/>
        <v>60</v>
      </c>
      <c r="G50" s="25"/>
      <c r="I50" s="23"/>
      <c r="J50" s="25"/>
    </row>
    <row r="51" spans="1:10" ht="30" outlineLevel="1" x14ac:dyDescent="0.25">
      <c r="A51" s="28" t="s">
        <v>196</v>
      </c>
      <c r="B51" s="29" t="s">
        <v>242</v>
      </c>
      <c r="C51" s="28" t="s">
        <v>8</v>
      </c>
      <c r="D51" s="14">
        <v>1</v>
      </c>
      <c r="E51" s="23">
        <v>65</v>
      </c>
      <c r="F51" s="25">
        <f t="shared" si="5"/>
        <v>65</v>
      </c>
      <c r="G51" s="25"/>
      <c r="I51" s="23"/>
      <c r="J51" s="25"/>
    </row>
    <row r="52" spans="1:10" ht="30" outlineLevel="1" x14ac:dyDescent="0.25">
      <c r="A52" s="28" t="s">
        <v>255</v>
      </c>
      <c r="B52" s="29" t="s">
        <v>241</v>
      </c>
      <c r="C52" s="28" t="s">
        <v>8</v>
      </c>
      <c r="D52" s="14">
        <v>1</v>
      </c>
      <c r="E52" s="23">
        <v>58</v>
      </c>
      <c r="F52" s="25">
        <f t="shared" si="5"/>
        <v>58</v>
      </c>
      <c r="G52" s="24" t="s">
        <v>91</v>
      </c>
      <c r="I52" s="23"/>
      <c r="J52" s="24"/>
    </row>
    <row r="53" spans="1:10" ht="30" outlineLevel="1" x14ac:dyDescent="0.25">
      <c r="A53" s="28" t="s">
        <v>197</v>
      </c>
      <c r="B53" s="29" t="s">
        <v>239</v>
      </c>
      <c r="C53" s="22" t="s">
        <v>8</v>
      </c>
      <c r="D53" s="14">
        <v>1</v>
      </c>
      <c r="E53" s="23">
        <v>65</v>
      </c>
      <c r="F53" s="24">
        <f t="shared" ref="F53:F54" si="6">D53*E53</f>
        <v>65</v>
      </c>
      <c r="G53" s="25"/>
      <c r="I53" s="23"/>
      <c r="J53" s="25"/>
    </row>
    <row r="54" spans="1:10" ht="30" outlineLevel="1" x14ac:dyDescent="0.25">
      <c r="A54" s="28" t="s">
        <v>256</v>
      </c>
      <c r="B54" s="29" t="s">
        <v>240</v>
      </c>
      <c r="C54" s="22" t="s">
        <v>8</v>
      </c>
      <c r="D54" s="14">
        <v>1</v>
      </c>
      <c r="E54" s="23">
        <v>70</v>
      </c>
      <c r="F54" s="24">
        <f t="shared" si="6"/>
        <v>70</v>
      </c>
      <c r="G54" s="25"/>
      <c r="I54" s="23"/>
      <c r="J54" s="25"/>
    </row>
    <row r="55" spans="1:10" outlineLevel="1" x14ac:dyDescent="0.25">
      <c r="A55" s="31" t="s">
        <v>93</v>
      </c>
      <c r="B55" s="13" t="s">
        <v>53</v>
      </c>
      <c r="C55" s="12"/>
      <c r="D55" s="12"/>
      <c r="E55" s="12"/>
      <c r="F55" s="12"/>
      <c r="G55" s="12"/>
      <c r="I55" s="12"/>
      <c r="J55" s="12"/>
    </row>
    <row r="56" spans="1:10" ht="30" outlineLevel="1" x14ac:dyDescent="0.25">
      <c r="A56" s="28" t="s">
        <v>198</v>
      </c>
      <c r="B56" s="29" t="s">
        <v>54</v>
      </c>
      <c r="C56" s="28" t="s">
        <v>8</v>
      </c>
      <c r="D56" s="14">
        <v>1</v>
      </c>
      <c r="E56" s="23">
        <v>65</v>
      </c>
      <c r="F56" s="24">
        <f t="shared" ref="F56:F62" si="7">D56*E56</f>
        <v>65</v>
      </c>
      <c r="G56" s="16"/>
      <c r="I56" s="18"/>
      <c r="J56" s="16"/>
    </row>
    <row r="57" spans="1:10" outlineLevel="1" x14ac:dyDescent="0.25">
      <c r="A57" s="28" t="s">
        <v>257</v>
      </c>
      <c r="B57" s="29" t="s">
        <v>55</v>
      </c>
      <c r="C57" s="28" t="s">
        <v>8</v>
      </c>
      <c r="D57" s="14">
        <v>1</v>
      </c>
      <c r="E57" s="23">
        <v>75</v>
      </c>
      <c r="F57" s="24">
        <f t="shared" si="7"/>
        <v>75</v>
      </c>
      <c r="G57" s="24"/>
      <c r="I57" s="23"/>
      <c r="J57" s="24"/>
    </row>
    <row r="58" spans="1:10" outlineLevel="1" x14ac:dyDescent="0.25">
      <c r="A58" s="28" t="s">
        <v>199</v>
      </c>
      <c r="B58" s="29" t="s">
        <v>43</v>
      </c>
      <c r="C58" s="28" t="s">
        <v>8</v>
      </c>
      <c r="D58" s="14">
        <v>1</v>
      </c>
      <c r="E58" s="21">
        <v>80</v>
      </c>
      <c r="F58" s="24">
        <f t="shared" si="7"/>
        <v>80</v>
      </c>
      <c r="G58" s="24" t="s">
        <v>91</v>
      </c>
      <c r="I58" s="21"/>
      <c r="J58" s="24"/>
    </row>
    <row r="59" spans="1:10" outlineLevel="1" x14ac:dyDescent="0.25">
      <c r="A59" s="28" t="s">
        <v>258</v>
      </c>
      <c r="B59" s="29" t="s">
        <v>210</v>
      </c>
      <c r="C59" s="28" t="s">
        <v>10</v>
      </c>
      <c r="D59" s="14">
        <v>1</v>
      </c>
      <c r="E59" s="21">
        <v>160</v>
      </c>
      <c r="F59" s="24">
        <f t="shared" si="7"/>
        <v>160</v>
      </c>
      <c r="G59" s="24" t="s">
        <v>182</v>
      </c>
      <c r="I59" s="21"/>
      <c r="J59" s="24"/>
    </row>
    <row r="60" spans="1:10" ht="30" outlineLevel="1" x14ac:dyDescent="0.25">
      <c r="A60" s="28" t="s">
        <v>259</v>
      </c>
      <c r="B60" s="29" t="s">
        <v>207</v>
      </c>
      <c r="C60" s="28" t="s">
        <v>8</v>
      </c>
      <c r="D60" s="14">
        <v>1</v>
      </c>
      <c r="E60" s="23">
        <v>25</v>
      </c>
      <c r="F60" s="24">
        <f t="shared" si="7"/>
        <v>25</v>
      </c>
      <c r="G60" s="24" t="s">
        <v>182</v>
      </c>
      <c r="I60" s="23">
        <v>175.5</v>
      </c>
      <c r="J60" s="24" t="s">
        <v>208</v>
      </c>
    </row>
    <row r="61" spans="1:10" ht="30" outlineLevel="1" x14ac:dyDescent="0.25">
      <c r="A61" s="28" t="s">
        <v>260</v>
      </c>
      <c r="B61" s="29" t="s">
        <v>56</v>
      </c>
      <c r="C61" s="28" t="s">
        <v>8</v>
      </c>
      <c r="D61" s="14">
        <v>1</v>
      </c>
      <c r="E61" s="23">
        <v>60</v>
      </c>
      <c r="F61" s="24">
        <f t="shared" si="7"/>
        <v>60</v>
      </c>
      <c r="G61" s="24"/>
      <c r="I61" s="23"/>
      <c r="J61" s="24"/>
    </row>
    <row r="62" spans="1:10" ht="45" outlineLevel="1" x14ac:dyDescent="0.25">
      <c r="A62" s="28" t="s">
        <v>261</v>
      </c>
      <c r="B62" s="29" t="s">
        <v>209</v>
      </c>
      <c r="C62" s="28" t="s">
        <v>8</v>
      </c>
      <c r="D62" s="14">
        <v>1</v>
      </c>
      <c r="E62" s="23">
        <v>75</v>
      </c>
      <c r="F62" s="24">
        <f t="shared" si="7"/>
        <v>75</v>
      </c>
      <c r="G62" s="24" t="s">
        <v>206</v>
      </c>
      <c r="I62" s="23"/>
      <c r="J62" s="24"/>
    </row>
    <row r="63" spans="1:10" outlineLevel="1" x14ac:dyDescent="0.25">
      <c r="A63" s="31" t="s">
        <v>93</v>
      </c>
      <c r="B63" s="5" t="s">
        <v>17</v>
      </c>
      <c r="C63" s="4"/>
      <c r="D63" s="4"/>
      <c r="E63" s="4"/>
      <c r="F63" s="6"/>
      <c r="G63" s="6"/>
      <c r="I63" s="4"/>
      <c r="J63" s="6"/>
    </row>
    <row r="64" spans="1:10" outlineLevel="1" x14ac:dyDescent="0.25">
      <c r="A64" s="22" t="s">
        <v>213</v>
      </c>
      <c r="B64" s="27" t="s">
        <v>41</v>
      </c>
      <c r="C64" s="22" t="s">
        <v>8</v>
      </c>
      <c r="D64" s="14">
        <v>1</v>
      </c>
      <c r="E64" s="21"/>
      <c r="F64" s="24">
        <f>D64*E64</f>
        <v>0</v>
      </c>
      <c r="G64" s="24"/>
      <c r="I64" s="21"/>
      <c r="J64" s="24"/>
    </row>
    <row r="65" spans="1:11" outlineLevel="1" x14ac:dyDescent="0.25">
      <c r="A65" s="22" t="s">
        <v>214</v>
      </c>
      <c r="B65" s="27" t="s">
        <v>42</v>
      </c>
      <c r="C65" s="22" t="s">
        <v>8</v>
      </c>
      <c r="D65" s="14">
        <v>1</v>
      </c>
      <c r="E65" s="21"/>
      <c r="F65" s="24">
        <f>D65*E65</f>
        <v>0</v>
      </c>
      <c r="G65" s="24"/>
      <c r="I65" s="21"/>
      <c r="J65" s="24"/>
    </row>
    <row r="66" spans="1:11" outlineLevel="1" x14ac:dyDescent="0.25">
      <c r="A66" s="31" t="s">
        <v>93</v>
      </c>
      <c r="B66" s="19" t="s">
        <v>200</v>
      </c>
      <c r="C66" s="4"/>
      <c r="D66" s="4"/>
      <c r="E66" s="6"/>
      <c r="F66" s="6"/>
      <c r="G66" s="6"/>
      <c r="I66" s="6"/>
      <c r="J66" s="6"/>
    </row>
    <row r="67" spans="1:11" outlineLevel="1" x14ac:dyDescent="0.25">
      <c r="A67" s="22" t="s">
        <v>215</v>
      </c>
      <c r="B67" s="27"/>
      <c r="C67" s="22"/>
      <c r="D67" s="8"/>
      <c r="E67" s="21"/>
      <c r="F67" s="24">
        <f t="shared" ref="F67:F69" si="8">D67*E67</f>
        <v>0</v>
      </c>
      <c r="G67" s="24"/>
      <c r="I67" s="21"/>
      <c r="J67" s="24"/>
    </row>
    <row r="68" spans="1:11" outlineLevel="1" x14ac:dyDescent="0.25">
      <c r="A68" s="22" t="s">
        <v>216</v>
      </c>
      <c r="B68" s="27"/>
      <c r="C68" s="22"/>
      <c r="D68" s="8"/>
      <c r="E68" s="21"/>
      <c r="F68" s="24">
        <f t="shared" si="8"/>
        <v>0</v>
      </c>
      <c r="G68" s="24"/>
      <c r="I68" s="21"/>
      <c r="J68" s="24"/>
    </row>
    <row r="69" spans="1:11" outlineLevel="1" x14ac:dyDescent="0.25">
      <c r="A69" s="22" t="s">
        <v>217</v>
      </c>
      <c r="B69" s="27"/>
      <c r="C69" s="22"/>
      <c r="D69" s="8"/>
      <c r="E69" s="21"/>
      <c r="F69" s="24">
        <f t="shared" si="8"/>
        <v>0</v>
      </c>
      <c r="G69" s="24"/>
      <c r="I69" s="21"/>
      <c r="J69" s="24"/>
    </row>
    <row r="70" spans="1:11" ht="18.75" x14ac:dyDescent="0.25">
      <c r="A70" s="32" t="s">
        <v>92</v>
      </c>
      <c r="B70" s="2" t="s">
        <v>141</v>
      </c>
      <c r="C70" s="1"/>
      <c r="D70" s="1"/>
      <c r="E70" s="3"/>
      <c r="F70" s="3"/>
      <c r="G70" s="3"/>
      <c r="I70" s="3"/>
      <c r="J70" s="3"/>
    </row>
    <row r="71" spans="1:11" outlineLevel="1" x14ac:dyDescent="0.25">
      <c r="A71" s="31" t="s">
        <v>93</v>
      </c>
      <c r="B71" s="5" t="s">
        <v>18</v>
      </c>
      <c r="C71" s="4"/>
      <c r="D71" s="4"/>
      <c r="E71" s="6"/>
      <c r="F71" s="6"/>
      <c r="G71" s="6"/>
      <c r="I71" s="6"/>
      <c r="J71" s="6"/>
    </row>
    <row r="72" spans="1:11" ht="28.5" customHeight="1" outlineLevel="1" x14ac:dyDescent="0.25">
      <c r="A72" s="22" t="s">
        <v>161</v>
      </c>
      <c r="B72" s="27" t="s">
        <v>89</v>
      </c>
      <c r="C72" s="22" t="s">
        <v>8</v>
      </c>
      <c r="D72" s="14">
        <v>1</v>
      </c>
      <c r="E72" s="21">
        <v>150</v>
      </c>
      <c r="F72" s="24">
        <f t="shared" ref="F72:F76" si="9">D72*E72</f>
        <v>150</v>
      </c>
      <c r="G72" s="24" t="s">
        <v>160</v>
      </c>
      <c r="I72" s="21"/>
      <c r="J72" s="24"/>
    </row>
    <row r="73" spans="1:11" ht="23.25" customHeight="1" outlineLevel="1" x14ac:dyDescent="0.25">
      <c r="A73" s="22" t="s">
        <v>162</v>
      </c>
      <c r="B73" s="27" t="s">
        <v>90</v>
      </c>
      <c r="C73" s="22" t="s">
        <v>8</v>
      </c>
      <c r="D73" s="14">
        <v>1</v>
      </c>
      <c r="E73" s="21">
        <v>250</v>
      </c>
      <c r="F73" s="24">
        <f t="shared" si="9"/>
        <v>250</v>
      </c>
      <c r="G73" s="24" t="s">
        <v>158</v>
      </c>
      <c r="I73" s="21">
        <v>220</v>
      </c>
      <c r="J73" s="24" t="s">
        <v>88</v>
      </c>
    </row>
    <row r="74" spans="1:11" ht="30" outlineLevel="1" x14ac:dyDescent="0.25">
      <c r="A74" s="22" t="s">
        <v>262</v>
      </c>
      <c r="B74" s="27" t="s">
        <v>233</v>
      </c>
      <c r="C74" s="22" t="s">
        <v>12</v>
      </c>
      <c r="D74" s="8">
        <v>1</v>
      </c>
      <c r="E74" s="20">
        <v>600</v>
      </c>
      <c r="F74" s="24">
        <f t="shared" si="9"/>
        <v>600</v>
      </c>
      <c r="G74" s="24" t="s">
        <v>160</v>
      </c>
      <c r="I74" s="20"/>
      <c r="J74" s="24"/>
      <c r="K74" t="s">
        <v>232</v>
      </c>
    </row>
    <row r="75" spans="1:11" ht="30" outlineLevel="1" x14ac:dyDescent="0.25">
      <c r="A75" s="22" t="s">
        <v>163</v>
      </c>
      <c r="B75" s="27" t="s">
        <v>234</v>
      </c>
      <c r="C75" s="22" t="s">
        <v>12</v>
      </c>
      <c r="D75" s="8">
        <v>1</v>
      </c>
      <c r="E75" s="20">
        <v>900</v>
      </c>
      <c r="F75" s="24">
        <f t="shared" si="9"/>
        <v>900</v>
      </c>
      <c r="G75" s="30"/>
      <c r="I75" s="26"/>
      <c r="J75" s="30"/>
      <c r="K75" t="s">
        <v>232</v>
      </c>
    </row>
    <row r="76" spans="1:11" ht="30" outlineLevel="1" x14ac:dyDescent="0.25">
      <c r="A76" s="22" t="s">
        <v>164</v>
      </c>
      <c r="B76" s="27" t="s">
        <v>235</v>
      </c>
      <c r="C76" s="22" t="s">
        <v>12</v>
      </c>
      <c r="D76" s="8">
        <v>1</v>
      </c>
      <c r="E76" s="20">
        <v>1200</v>
      </c>
      <c r="F76" s="24">
        <f t="shared" si="9"/>
        <v>1200</v>
      </c>
      <c r="G76" s="24" t="s">
        <v>160</v>
      </c>
      <c r="I76" s="20"/>
      <c r="J76" s="24"/>
    </row>
    <row r="77" spans="1:11" outlineLevel="1" x14ac:dyDescent="0.25">
      <c r="A77" s="31" t="s">
        <v>93</v>
      </c>
      <c r="B77" s="5" t="s">
        <v>19</v>
      </c>
      <c r="C77" s="4"/>
      <c r="D77" s="4"/>
      <c r="E77" s="6"/>
      <c r="F77" s="6"/>
      <c r="G77" s="6"/>
      <c r="I77" s="6"/>
      <c r="J77" s="6"/>
    </row>
    <row r="78" spans="1:11" outlineLevel="1" x14ac:dyDescent="0.25">
      <c r="A78" s="22" t="s">
        <v>165</v>
      </c>
      <c r="B78" s="27" t="s">
        <v>46</v>
      </c>
      <c r="C78" s="22" t="s">
        <v>12</v>
      </c>
      <c r="D78" s="8">
        <v>1</v>
      </c>
      <c r="E78" s="21">
        <v>690</v>
      </c>
      <c r="F78" s="24">
        <f t="shared" ref="F78:F79" si="10">D78*E78</f>
        <v>690</v>
      </c>
      <c r="G78" s="24" t="s">
        <v>91</v>
      </c>
      <c r="I78" s="21"/>
      <c r="J78" s="24"/>
    </row>
    <row r="79" spans="1:11" outlineLevel="1" x14ac:dyDescent="0.25">
      <c r="A79" s="22" t="s">
        <v>263</v>
      </c>
      <c r="B79" s="27" t="s">
        <v>47</v>
      </c>
      <c r="C79" s="22" t="s">
        <v>12</v>
      </c>
      <c r="D79" s="8">
        <v>1</v>
      </c>
      <c r="E79" s="21">
        <v>800</v>
      </c>
      <c r="F79" s="24">
        <f t="shared" si="10"/>
        <v>800</v>
      </c>
      <c r="G79" s="24"/>
      <c r="I79" s="21"/>
      <c r="J79" s="24"/>
    </row>
    <row r="80" spans="1:11" outlineLevel="1" x14ac:dyDescent="0.25">
      <c r="A80" s="22" t="s">
        <v>166</v>
      </c>
      <c r="B80" s="27" t="s">
        <v>48</v>
      </c>
      <c r="C80" s="22" t="s">
        <v>12</v>
      </c>
      <c r="D80" s="8">
        <v>1</v>
      </c>
      <c r="E80" s="21">
        <v>850</v>
      </c>
      <c r="F80" s="24">
        <f>D80*E80</f>
        <v>850</v>
      </c>
      <c r="G80" s="24" t="s">
        <v>91</v>
      </c>
      <c r="I80" s="21"/>
      <c r="J80" s="24"/>
    </row>
    <row r="81" spans="1:10" ht="30" outlineLevel="1" x14ac:dyDescent="0.25">
      <c r="A81" s="22" t="s">
        <v>264</v>
      </c>
      <c r="B81" s="27" t="s">
        <v>137</v>
      </c>
      <c r="C81" s="22" t="s">
        <v>12</v>
      </c>
      <c r="D81" s="8">
        <v>1</v>
      </c>
      <c r="E81" s="21">
        <v>550</v>
      </c>
      <c r="F81" s="24">
        <f t="shared" ref="F81:F82" si="11">D81*E81</f>
        <v>550</v>
      </c>
      <c r="G81" s="24" t="s">
        <v>134</v>
      </c>
      <c r="I81" s="21"/>
      <c r="J81" s="24"/>
    </row>
    <row r="82" spans="1:10" ht="30" outlineLevel="1" x14ac:dyDescent="0.25">
      <c r="A82" s="22" t="s">
        <v>167</v>
      </c>
      <c r="B82" s="27" t="s">
        <v>236</v>
      </c>
      <c r="C82" s="22" t="s">
        <v>12</v>
      </c>
      <c r="D82" s="8">
        <v>1</v>
      </c>
      <c r="E82" s="21">
        <v>900</v>
      </c>
      <c r="F82" s="24">
        <f t="shared" si="11"/>
        <v>900</v>
      </c>
      <c r="G82" s="24" t="s">
        <v>134</v>
      </c>
      <c r="I82" s="21"/>
      <c r="J82" s="24"/>
    </row>
    <row r="83" spans="1:10" ht="18.75" x14ac:dyDescent="0.25">
      <c r="A83" s="32" t="s">
        <v>92</v>
      </c>
      <c r="B83" s="2" t="s">
        <v>20</v>
      </c>
      <c r="C83" s="1"/>
      <c r="D83" s="1"/>
      <c r="E83" s="3"/>
      <c r="F83" s="3"/>
      <c r="G83" s="3"/>
      <c r="I83" s="3"/>
      <c r="J83" s="3"/>
    </row>
    <row r="84" spans="1:10" outlineLevel="1" x14ac:dyDescent="0.25">
      <c r="A84" s="31" t="s">
        <v>93</v>
      </c>
      <c r="B84" s="19" t="s">
        <v>168</v>
      </c>
      <c r="C84" s="4"/>
      <c r="D84" s="4"/>
      <c r="E84" s="6"/>
      <c r="F84" s="6"/>
      <c r="G84" s="6"/>
      <c r="I84" s="6"/>
      <c r="J84" s="6"/>
    </row>
    <row r="85" spans="1:10" outlineLevel="1" x14ac:dyDescent="0.25">
      <c r="A85" s="22" t="s">
        <v>181</v>
      </c>
      <c r="B85" s="27" t="s">
        <v>170</v>
      </c>
      <c r="C85" s="22" t="s">
        <v>8</v>
      </c>
      <c r="D85" s="8">
        <v>1</v>
      </c>
      <c r="E85" s="21">
        <v>10</v>
      </c>
      <c r="F85" s="24">
        <f t="shared" ref="F85:F99" si="12">D85*E85</f>
        <v>10</v>
      </c>
      <c r="G85" s="24" t="s">
        <v>158</v>
      </c>
      <c r="I85" s="21"/>
      <c r="J85" s="24"/>
    </row>
    <row r="86" spans="1:10" outlineLevel="1" x14ac:dyDescent="0.25">
      <c r="A86" s="31" t="s">
        <v>93</v>
      </c>
      <c r="B86" s="19" t="s">
        <v>169</v>
      </c>
      <c r="C86" s="4"/>
      <c r="D86" s="4"/>
      <c r="E86" s="6"/>
      <c r="F86" s="6"/>
      <c r="G86" s="6"/>
      <c r="I86" s="6"/>
      <c r="J86" s="6"/>
    </row>
    <row r="87" spans="1:10" ht="30" outlineLevel="1" x14ac:dyDescent="0.25">
      <c r="A87" s="22" t="s">
        <v>148</v>
      </c>
      <c r="B87" s="27" t="s">
        <v>212</v>
      </c>
      <c r="C87" s="22" t="s">
        <v>8</v>
      </c>
      <c r="D87" s="8">
        <v>1</v>
      </c>
      <c r="E87" s="21">
        <v>50</v>
      </c>
      <c r="F87" s="24">
        <f t="shared" si="12"/>
        <v>50</v>
      </c>
      <c r="G87" s="24" t="s">
        <v>91</v>
      </c>
      <c r="I87" s="21">
        <v>53</v>
      </c>
      <c r="J87" s="24" t="s">
        <v>182</v>
      </c>
    </row>
    <row r="88" spans="1:10" ht="30" outlineLevel="1" x14ac:dyDescent="0.25">
      <c r="A88" s="22" t="s">
        <v>171</v>
      </c>
      <c r="B88" s="27" t="s">
        <v>211</v>
      </c>
      <c r="C88" s="22" t="s">
        <v>8</v>
      </c>
      <c r="D88" s="8">
        <v>1</v>
      </c>
      <c r="E88" s="21">
        <v>55</v>
      </c>
      <c r="F88" s="24">
        <f t="shared" si="12"/>
        <v>55</v>
      </c>
      <c r="G88" s="24" t="s">
        <v>182</v>
      </c>
      <c r="I88" s="24"/>
      <c r="J88" s="24"/>
    </row>
    <row r="89" spans="1:10" ht="30" outlineLevel="1" x14ac:dyDescent="0.25">
      <c r="A89" s="22" t="s">
        <v>172</v>
      </c>
      <c r="B89" s="27" t="s">
        <v>237</v>
      </c>
      <c r="C89" s="22" t="s">
        <v>8</v>
      </c>
      <c r="D89" s="8">
        <v>1</v>
      </c>
      <c r="E89" s="21">
        <v>58</v>
      </c>
      <c r="F89" s="24">
        <f t="shared" ref="F89" si="13">D89*E89</f>
        <v>58</v>
      </c>
      <c r="G89" s="24" t="s">
        <v>182</v>
      </c>
      <c r="I89" s="24"/>
      <c r="J89" s="24"/>
    </row>
    <row r="90" spans="1:10" outlineLevel="1" x14ac:dyDescent="0.25">
      <c r="A90" s="22" t="s">
        <v>173</v>
      </c>
      <c r="B90" s="27" t="s">
        <v>49</v>
      </c>
      <c r="C90" s="22" t="s">
        <v>8</v>
      </c>
      <c r="D90" s="8">
        <v>1</v>
      </c>
      <c r="E90" s="21">
        <v>50</v>
      </c>
      <c r="F90" s="24">
        <f t="shared" si="12"/>
        <v>50</v>
      </c>
      <c r="G90" s="24"/>
      <c r="I90" s="24"/>
      <c r="J90" s="24"/>
    </row>
    <row r="91" spans="1:10" outlineLevel="1" x14ac:dyDescent="0.25">
      <c r="A91" s="22" t="s">
        <v>174</v>
      </c>
      <c r="B91" s="27" t="s">
        <v>50</v>
      </c>
      <c r="C91" s="22" t="s">
        <v>8</v>
      </c>
      <c r="D91" s="8">
        <v>1</v>
      </c>
      <c r="E91" s="21">
        <v>55</v>
      </c>
      <c r="F91" s="24">
        <f t="shared" si="12"/>
        <v>55</v>
      </c>
      <c r="G91" s="24"/>
      <c r="I91" s="21"/>
      <c r="J91" s="24"/>
    </row>
    <row r="92" spans="1:10" outlineLevel="1" x14ac:dyDescent="0.25">
      <c r="A92" s="22" t="s">
        <v>175</v>
      </c>
      <c r="B92" s="27" t="s">
        <v>51</v>
      </c>
      <c r="C92" s="22" t="s">
        <v>8</v>
      </c>
      <c r="D92" s="8">
        <v>1</v>
      </c>
      <c r="E92" s="21">
        <v>60</v>
      </c>
      <c r="F92" s="24">
        <f t="shared" si="12"/>
        <v>60</v>
      </c>
      <c r="G92" s="24"/>
      <c r="I92" s="21"/>
      <c r="J92" s="24"/>
    </row>
    <row r="93" spans="1:10" outlineLevel="1" x14ac:dyDescent="0.25">
      <c r="A93" s="22" t="s">
        <v>176</v>
      </c>
      <c r="B93" s="27" t="s">
        <v>52</v>
      </c>
      <c r="C93" s="22" t="s">
        <v>8</v>
      </c>
      <c r="D93" s="8">
        <v>1</v>
      </c>
      <c r="E93" s="21">
        <v>65</v>
      </c>
      <c r="F93" s="24">
        <f t="shared" si="12"/>
        <v>65</v>
      </c>
      <c r="G93" s="24"/>
      <c r="I93" s="21"/>
      <c r="J93" s="24"/>
    </row>
    <row r="94" spans="1:10" outlineLevel="1" x14ac:dyDescent="0.25">
      <c r="A94" s="22" t="s">
        <v>177</v>
      </c>
      <c r="B94" s="27" t="s">
        <v>58</v>
      </c>
      <c r="C94" s="22" t="s">
        <v>8</v>
      </c>
      <c r="D94" s="8">
        <v>1</v>
      </c>
      <c r="E94" s="21">
        <v>60</v>
      </c>
      <c r="F94" s="24">
        <f t="shared" si="12"/>
        <v>60</v>
      </c>
      <c r="G94" s="24"/>
      <c r="I94" s="21"/>
      <c r="J94" s="24"/>
    </row>
    <row r="95" spans="1:10" outlineLevel="1" x14ac:dyDescent="0.25">
      <c r="A95" s="22" t="s">
        <v>265</v>
      </c>
      <c r="B95" s="27" t="s">
        <v>59</v>
      </c>
      <c r="C95" s="22" t="s">
        <v>8</v>
      </c>
      <c r="D95" s="8">
        <v>1</v>
      </c>
      <c r="E95" s="21">
        <v>55</v>
      </c>
      <c r="F95" s="24">
        <f t="shared" si="12"/>
        <v>55</v>
      </c>
      <c r="G95" s="24"/>
      <c r="I95" s="21"/>
      <c r="J95" s="24"/>
    </row>
    <row r="96" spans="1:10" outlineLevel="1" x14ac:dyDescent="0.25">
      <c r="A96" s="22" t="s">
        <v>178</v>
      </c>
      <c r="B96" s="27" t="s">
        <v>60</v>
      </c>
      <c r="C96" s="22" t="s">
        <v>8</v>
      </c>
      <c r="D96" s="8">
        <v>1</v>
      </c>
      <c r="E96" s="20">
        <v>50</v>
      </c>
      <c r="F96" s="24">
        <f t="shared" si="12"/>
        <v>50</v>
      </c>
      <c r="G96" s="24"/>
      <c r="I96" s="26"/>
      <c r="J96" s="24"/>
    </row>
    <row r="97" spans="1:10" ht="30" outlineLevel="1" x14ac:dyDescent="0.25">
      <c r="A97" s="22" t="s">
        <v>179</v>
      </c>
      <c r="B97" s="27" t="s">
        <v>61</v>
      </c>
      <c r="C97" s="22" t="s">
        <v>8</v>
      </c>
      <c r="D97" s="8">
        <v>1</v>
      </c>
      <c r="E97" s="21">
        <v>150</v>
      </c>
      <c r="F97" s="24">
        <f t="shared" si="12"/>
        <v>150</v>
      </c>
      <c r="G97" s="24"/>
      <c r="I97" s="21"/>
      <c r="J97" s="24"/>
    </row>
    <row r="98" spans="1:10" outlineLevel="1" x14ac:dyDescent="0.25">
      <c r="A98" s="22" t="s">
        <v>180</v>
      </c>
      <c r="B98" s="27" t="s">
        <v>57</v>
      </c>
      <c r="C98" s="22" t="s">
        <v>14</v>
      </c>
      <c r="D98" s="8">
        <v>1</v>
      </c>
      <c r="E98" s="20">
        <v>25</v>
      </c>
      <c r="F98" s="24">
        <f t="shared" si="12"/>
        <v>25</v>
      </c>
      <c r="G98" s="24" t="s">
        <v>91</v>
      </c>
      <c r="I98" s="26"/>
      <c r="J98" s="24"/>
    </row>
    <row r="99" spans="1:10" ht="30" outlineLevel="1" x14ac:dyDescent="0.25">
      <c r="A99" s="22" t="s">
        <v>266</v>
      </c>
      <c r="B99" s="27" t="s">
        <v>62</v>
      </c>
      <c r="C99" s="22" t="s">
        <v>14</v>
      </c>
      <c r="D99" s="8">
        <v>1</v>
      </c>
      <c r="E99" s="21">
        <v>40</v>
      </c>
      <c r="F99" s="24">
        <f t="shared" si="12"/>
        <v>40</v>
      </c>
      <c r="G99" s="24"/>
      <c r="I99" s="21"/>
      <c r="J99" s="24"/>
    </row>
    <row r="100" spans="1:10" ht="18.75" x14ac:dyDescent="0.25">
      <c r="A100" s="32" t="s">
        <v>92</v>
      </c>
      <c r="B100" s="2" t="s">
        <v>142</v>
      </c>
      <c r="C100" s="1"/>
      <c r="D100" s="1"/>
      <c r="E100" s="3"/>
      <c r="F100" s="3"/>
      <c r="G100" s="3"/>
      <c r="I100" s="3"/>
      <c r="J100" s="3"/>
    </row>
    <row r="101" spans="1:10" outlineLevel="1" x14ac:dyDescent="0.25">
      <c r="A101" s="31" t="s">
        <v>93</v>
      </c>
      <c r="B101" s="19" t="s">
        <v>143</v>
      </c>
      <c r="C101" s="4"/>
      <c r="D101" s="4"/>
      <c r="E101" s="6"/>
      <c r="F101" s="6"/>
      <c r="G101" s="6"/>
      <c r="I101" s="6"/>
      <c r="J101" s="6"/>
    </row>
    <row r="102" spans="1:10" outlineLevel="1" x14ac:dyDescent="0.25">
      <c r="A102" s="22" t="s">
        <v>111</v>
      </c>
      <c r="B102" s="27" t="s">
        <v>63</v>
      </c>
      <c r="C102" s="22" t="s">
        <v>8</v>
      </c>
      <c r="D102" s="8">
        <v>1</v>
      </c>
      <c r="E102" s="21">
        <v>10</v>
      </c>
      <c r="F102" s="24">
        <f t="shared" ref="F102:F115" si="14">D102*E102</f>
        <v>10</v>
      </c>
      <c r="G102" s="24" t="s">
        <v>134</v>
      </c>
      <c r="I102" s="21">
        <v>10</v>
      </c>
      <c r="J102" s="24" t="s">
        <v>91</v>
      </c>
    </row>
    <row r="103" spans="1:10" outlineLevel="1" x14ac:dyDescent="0.25">
      <c r="A103" s="22" t="s">
        <v>112</v>
      </c>
      <c r="B103" s="27" t="s">
        <v>64</v>
      </c>
      <c r="C103" s="22" t="s">
        <v>8</v>
      </c>
      <c r="D103" s="8">
        <v>1</v>
      </c>
      <c r="E103" s="21">
        <v>15</v>
      </c>
      <c r="F103" s="24">
        <f t="shared" si="14"/>
        <v>15</v>
      </c>
      <c r="G103" s="24" t="s">
        <v>91</v>
      </c>
      <c r="I103" s="21"/>
      <c r="J103" s="24"/>
    </row>
    <row r="104" spans="1:10" outlineLevel="1" x14ac:dyDescent="0.25">
      <c r="A104" s="22" t="s">
        <v>113</v>
      </c>
      <c r="B104" s="27" t="s">
        <v>66</v>
      </c>
      <c r="C104" s="22" t="s">
        <v>8</v>
      </c>
      <c r="D104" s="8">
        <v>1</v>
      </c>
      <c r="E104" s="21">
        <v>3</v>
      </c>
      <c r="F104" s="24">
        <f t="shared" si="14"/>
        <v>3</v>
      </c>
      <c r="G104" s="24"/>
      <c r="I104" s="21"/>
      <c r="J104" s="24"/>
    </row>
    <row r="105" spans="1:10" outlineLevel="1" x14ac:dyDescent="0.25">
      <c r="A105" s="22" t="s">
        <v>114</v>
      </c>
      <c r="B105" s="27" t="s">
        <v>65</v>
      </c>
      <c r="C105" s="22" t="s">
        <v>8</v>
      </c>
      <c r="D105" s="8">
        <v>1</v>
      </c>
      <c r="E105" s="21">
        <v>25</v>
      </c>
      <c r="F105" s="24">
        <f t="shared" si="14"/>
        <v>25</v>
      </c>
      <c r="G105" s="24"/>
      <c r="I105" s="21"/>
      <c r="J105" s="24"/>
    </row>
    <row r="106" spans="1:10" outlineLevel="1" x14ac:dyDescent="0.25">
      <c r="A106" s="22" t="s">
        <v>115</v>
      </c>
      <c r="B106" s="27" t="s">
        <v>238</v>
      </c>
      <c r="C106" s="22" t="s">
        <v>8</v>
      </c>
      <c r="D106" s="8">
        <v>1</v>
      </c>
      <c r="E106" s="21">
        <v>50</v>
      </c>
      <c r="F106" s="24">
        <f t="shared" si="14"/>
        <v>50</v>
      </c>
      <c r="G106" s="24" t="s">
        <v>91</v>
      </c>
      <c r="I106" s="21"/>
      <c r="J106" s="24"/>
    </row>
    <row r="107" spans="1:10" outlineLevel="1" x14ac:dyDescent="0.25">
      <c r="A107" s="22" t="s">
        <v>116</v>
      </c>
      <c r="B107" s="27" t="s">
        <v>67</v>
      </c>
      <c r="C107" s="22" t="s">
        <v>8</v>
      </c>
      <c r="D107" s="8">
        <v>1</v>
      </c>
      <c r="E107" s="21">
        <v>80</v>
      </c>
      <c r="F107" s="24">
        <f t="shared" si="14"/>
        <v>80</v>
      </c>
      <c r="G107" s="24"/>
      <c r="I107" s="21"/>
      <c r="J107" s="24"/>
    </row>
    <row r="108" spans="1:10" outlineLevel="1" x14ac:dyDescent="0.25">
      <c r="A108" s="22" t="s">
        <v>117</v>
      </c>
      <c r="B108" s="27" t="s">
        <v>68</v>
      </c>
      <c r="C108" s="22" t="s">
        <v>8</v>
      </c>
      <c r="D108" s="8">
        <v>1</v>
      </c>
      <c r="E108" s="21">
        <v>40</v>
      </c>
      <c r="F108" s="24">
        <f t="shared" si="14"/>
        <v>40</v>
      </c>
      <c r="G108" s="24"/>
      <c r="I108" s="21"/>
      <c r="J108" s="24"/>
    </row>
    <row r="109" spans="1:10" outlineLevel="1" x14ac:dyDescent="0.25">
      <c r="A109" s="22" t="s">
        <v>118</v>
      </c>
      <c r="B109" s="27" t="s">
        <v>69</v>
      </c>
      <c r="C109" s="22" t="s">
        <v>8</v>
      </c>
      <c r="D109" s="8">
        <v>1</v>
      </c>
      <c r="E109" s="21">
        <v>50</v>
      </c>
      <c r="F109" s="24">
        <f t="shared" si="14"/>
        <v>50</v>
      </c>
      <c r="G109" s="24"/>
      <c r="I109" s="21"/>
      <c r="J109" s="24"/>
    </row>
    <row r="110" spans="1:10" outlineLevel="1" x14ac:dyDescent="0.25">
      <c r="A110" s="22" t="s">
        <v>119</v>
      </c>
      <c r="B110" s="27" t="s">
        <v>21</v>
      </c>
      <c r="C110" s="22" t="s">
        <v>8</v>
      </c>
      <c r="D110" s="8">
        <v>1</v>
      </c>
      <c r="E110" s="21">
        <v>30</v>
      </c>
      <c r="F110" s="24">
        <f t="shared" si="14"/>
        <v>30</v>
      </c>
      <c r="G110" s="24" t="s">
        <v>134</v>
      </c>
      <c r="I110" s="21"/>
      <c r="J110" s="24"/>
    </row>
    <row r="111" spans="1:10" outlineLevel="1" x14ac:dyDescent="0.25">
      <c r="A111" s="22" t="s">
        <v>120</v>
      </c>
      <c r="B111" s="27" t="s">
        <v>22</v>
      </c>
      <c r="C111" s="22" t="s">
        <v>8</v>
      </c>
      <c r="D111" s="8">
        <v>1</v>
      </c>
      <c r="E111" s="21">
        <v>450</v>
      </c>
      <c r="F111" s="24">
        <f t="shared" si="14"/>
        <v>450</v>
      </c>
      <c r="G111" s="24"/>
      <c r="I111" s="21"/>
      <c r="J111" s="24"/>
    </row>
    <row r="112" spans="1:10" outlineLevel="1" x14ac:dyDescent="0.25">
      <c r="A112" s="22" t="s">
        <v>121</v>
      </c>
      <c r="B112" s="27" t="s">
        <v>23</v>
      </c>
      <c r="C112" s="22" t="s">
        <v>8</v>
      </c>
      <c r="D112" s="8">
        <v>1</v>
      </c>
      <c r="E112" s="21">
        <v>300</v>
      </c>
      <c r="F112" s="24">
        <f t="shared" si="14"/>
        <v>300</v>
      </c>
      <c r="G112" s="24"/>
      <c r="I112" s="21"/>
      <c r="J112" s="24"/>
    </row>
    <row r="113" spans="1:10" outlineLevel="1" x14ac:dyDescent="0.25">
      <c r="A113" s="22" t="s">
        <v>122</v>
      </c>
      <c r="B113" s="27" t="s">
        <v>24</v>
      </c>
      <c r="C113" s="22" t="s">
        <v>8</v>
      </c>
      <c r="D113" s="8">
        <v>1</v>
      </c>
      <c r="E113" s="21">
        <v>350</v>
      </c>
      <c r="F113" s="24">
        <f t="shared" si="14"/>
        <v>350</v>
      </c>
      <c r="G113" s="24"/>
      <c r="I113" s="21"/>
      <c r="J113" s="24"/>
    </row>
    <row r="114" spans="1:10" outlineLevel="1" x14ac:dyDescent="0.25">
      <c r="A114" s="31" t="s">
        <v>93</v>
      </c>
      <c r="B114" s="19" t="s">
        <v>144</v>
      </c>
      <c r="C114" s="4"/>
      <c r="D114" s="4"/>
      <c r="E114" s="6"/>
      <c r="F114" s="6"/>
      <c r="G114" s="6"/>
      <c r="I114" s="6"/>
      <c r="J114" s="6"/>
    </row>
    <row r="115" spans="1:10" outlineLevel="1" x14ac:dyDescent="0.25">
      <c r="A115" s="22" t="s">
        <v>153</v>
      </c>
      <c r="B115" s="27" t="s">
        <v>136</v>
      </c>
      <c r="C115" s="22" t="s">
        <v>8</v>
      </c>
      <c r="D115" s="8">
        <v>1</v>
      </c>
      <c r="E115" s="21">
        <v>20</v>
      </c>
      <c r="F115" s="24">
        <f t="shared" si="14"/>
        <v>20</v>
      </c>
      <c r="G115" s="24" t="s">
        <v>134</v>
      </c>
      <c r="I115" s="21"/>
      <c r="J115" s="24"/>
    </row>
    <row r="116" spans="1:10" ht="18.75" x14ac:dyDescent="0.25">
      <c r="A116" s="32" t="s">
        <v>92</v>
      </c>
      <c r="B116" s="2" t="s">
        <v>145</v>
      </c>
      <c r="C116" s="1"/>
      <c r="D116" s="1"/>
      <c r="E116" s="3"/>
      <c r="F116" s="3"/>
      <c r="G116" s="3"/>
      <c r="I116" s="3"/>
      <c r="J116" s="3"/>
    </row>
    <row r="117" spans="1:10" outlineLevel="1" x14ac:dyDescent="0.25">
      <c r="A117" s="31" t="s">
        <v>93</v>
      </c>
      <c r="B117" s="19" t="s">
        <v>147</v>
      </c>
      <c r="C117" s="4"/>
      <c r="D117" s="4"/>
      <c r="E117" s="6"/>
      <c r="F117" s="6"/>
      <c r="G117" s="6"/>
      <c r="I117" s="6"/>
      <c r="J117" s="6"/>
    </row>
    <row r="118" spans="1:10" ht="45" outlineLevel="1" x14ac:dyDescent="0.25">
      <c r="A118" s="22" t="s">
        <v>123</v>
      </c>
      <c r="B118" s="27" t="s">
        <v>70</v>
      </c>
      <c r="C118" s="22" t="s">
        <v>8</v>
      </c>
      <c r="D118" s="8">
        <v>1</v>
      </c>
      <c r="E118" s="21">
        <v>60</v>
      </c>
      <c r="F118" s="24">
        <f t="shared" ref="F118:F131" si="15">D118*E118</f>
        <v>60</v>
      </c>
      <c r="G118" s="24" t="s">
        <v>138</v>
      </c>
      <c r="I118" s="21">
        <v>55</v>
      </c>
      <c r="J118" s="24" t="s">
        <v>91</v>
      </c>
    </row>
    <row r="119" spans="1:10" outlineLevel="1" x14ac:dyDescent="0.25">
      <c r="A119" s="22" t="s">
        <v>124</v>
      </c>
      <c r="B119" s="27" t="s">
        <v>71</v>
      </c>
      <c r="C119" s="22" t="s">
        <v>8</v>
      </c>
      <c r="D119" s="8">
        <v>1</v>
      </c>
      <c r="E119" s="21">
        <v>40</v>
      </c>
      <c r="F119" s="24">
        <f t="shared" si="15"/>
        <v>40</v>
      </c>
      <c r="G119" s="24" t="s">
        <v>91</v>
      </c>
      <c r="I119" s="21"/>
      <c r="J119" s="24"/>
    </row>
    <row r="120" spans="1:10" outlineLevel="1" x14ac:dyDescent="0.25">
      <c r="A120" s="22" t="s">
        <v>125</v>
      </c>
      <c r="B120" s="27" t="s">
        <v>72</v>
      </c>
      <c r="C120" s="22" t="s">
        <v>8</v>
      </c>
      <c r="D120" s="8">
        <v>1</v>
      </c>
      <c r="E120" s="21">
        <v>50</v>
      </c>
      <c r="F120" s="24">
        <f t="shared" si="15"/>
        <v>50</v>
      </c>
      <c r="G120" s="24"/>
      <c r="I120" s="21"/>
      <c r="J120" s="24"/>
    </row>
    <row r="121" spans="1:10" outlineLevel="1" x14ac:dyDescent="0.25">
      <c r="A121" s="22" t="s">
        <v>267</v>
      </c>
      <c r="B121" s="27" t="s">
        <v>75</v>
      </c>
      <c r="C121" s="22" t="s">
        <v>8</v>
      </c>
      <c r="D121" s="8">
        <v>1</v>
      </c>
      <c r="E121" s="21">
        <v>50</v>
      </c>
      <c r="F121" s="24">
        <f t="shared" si="15"/>
        <v>50</v>
      </c>
      <c r="G121" s="24"/>
      <c r="I121" s="21"/>
      <c r="J121" s="24"/>
    </row>
    <row r="122" spans="1:10" outlineLevel="1" x14ac:dyDescent="0.25">
      <c r="A122" s="22" t="s">
        <v>268</v>
      </c>
      <c r="B122" s="27" t="s">
        <v>73</v>
      </c>
      <c r="C122" s="22" t="s">
        <v>8</v>
      </c>
      <c r="D122" s="8">
        <v>1</v>
      </c>
      <c r="E122" s="21">
        <v>60</v>
      </c>
      <c r="F122" s="24">
        <f t="shared" si="15"/>
        <v>60</v>
      </c>
      <c r="G122" s="24"/>
      <c r="I122" s="21"/>
      <c r="J122" s="24"/>
    </row>
    <row r="123" spans="1:10" outlineLevel="1" x14ac:dyDescent="0.25">
      <c r="A123" s="22" t="s">
        <v>269</v>
      </c>
      <c r="B123" s="27" t="s">
        <v>74</v>
      </c>
      <c r="C123" s="22" t="s">
        <v>8</v>
      </c>
      <c r="D123" s="8">
        <v>1</v>
      </c>
      <c r="E123" s="21">
        <v>70</v>
      </c>
      <c r="F123" s="24">
        <f t="shared" si="15"/>
        <v>70</v>
      </c>
      <c r="G123" s="24"/>
      <c r="I123" s="21"/>
      <c r="J123" s="24"/>
    </row>
    <row r="124" spans="1:10" outlineLevel="1" x14ac:dyDescent="0.25">
      <c r="A124" s="22" t="s">
        <v>126</v>
      </c>
      <c r="B124" s="27" t="s">
        <v>25</v>
      </c>
      <c r="C124" s="22" t="s">
        <v>8</v>
      </c>
      <c r="D124" s="8">
        <v>1</v>
      </c>
      <c r="E124" s="21">
        <v>100</v>
      </c>
      <c r="F124" s="24">
        <f t="shared" si="15"/>
        <v>100</v>
      </c>
      <c r="G124" s="24"/>
      <c r="I124" s="21"/>
      <c r="J124" s="24"/>
    </row>
    <row r="125" spans="1:10" outlineLevel="1" x14ac:dyDescent="0.25">
      <c r="A125" s="22" t="s">
        <v>127</v>
      </c>
      <c r="B125" s="27" t="s">
        <v>26</v>
      </c>
      <c r="C125" s="22" t="s">
        <v>8</v>
      </c>
      <c r="D125" s="8">
        <v>1</v>
      </c>
      <c r="E125" s="21">
        <v>100</v>
      </c>
      <c r="F125" s="24">
        <f t="shared" si="15"/>
        <v>100</v>
      </c>
      <c r="G125" s="24"/>
      <c r="I125" s="21"/>
      <c r="J125" s="24"/>
    </row>
    <row r="126" spans="1:10" outlineLevel="1" x14ac:dyDescent="0.25">
      <c r="A126" s="22" t="s">
        <v>128</v>
      </c>
      <c r="B126" s="27" t="s">
        <v>77</v>
      </c>
      <c r="C126" s="22" t="s">
        <v>14</v>
      </c>
      <c r="D126" s="8">
        <v>1</v>
      </c>
      <c r="E126" s="21">
        <v>3</v>
      </c>
      <c r="F126" s="24">
        <f t="shared" si="15"/>
        <v>3</v>
      </c>
      <c r="G126" s="24"/>
      <c r="I126" s="21"/>
      <c r="J126" s="24"/>
    </row>
    <row r="127" spans="1:10" outlineLevel="1" x14ac:dyDescent="0.25">
      <c r="A127" s="22" t="s">
        <v>129</v>
      </c>
      <c r="B127" s="27" t="s">
        <v>78</v>
      </c>
      <c r="C127" s="22" t="s">
        <v>14</v>
      </c>
      <c r="D127" s="8">
        <v>1</v>
      </c>
      <c r="E127" s="21">
        <v>8</v>
      </c>
      <c r="F127" s="24">
        <f t="shared" si="15"/>
        <v>8</v>
      </c>
      <c r="G127" s="24" t="s">
        <v>134</v>
      </c>
      <c r="I127" s="21">
        <v>10</v>
      </c>
      <c r="J127" s="24" t="s">
        <v>91</v>
      </c>
    </row>
    <row r="128" spans="1:10" outlineLevel="1" x14ac:dyDescent="0.25">
      <c r="A128" s="22" t="s">
        <v>130</v>
      </c>
      <c r="B128" s="27" t="s">
        <v>27</v>
      </c>
      <c r="C128" s="22" t="s">
        <v>14</v>
      </c>
      <c r="D128" s="8">
        <v>1</v>
      </c>
      <c r="E128" s="21">
        <v>10</v>
      </c>
      <c r="F128" s="24">
        <f t="shared" si="15"/>
        <v>10</v>
      </c>
      <c r="G128" s="24" t="s">
        <v>134</v>
      </c>
      <c r="I128" s="21">
        <v>10</v>
      </c>
      <c r="J128" s="24" t="s">
        <v>91</v>
      </c>
    </row>
    <row r="129" spans="1:10" outlineLevel="1" x14ac:dyDescent="0.25">
      <c r="A129" s="22" t="s">
        <v>131</v>
      </c>
      <c r="B129" s="27" t="s">
        <v>79</v>
      </c>
      <c r="C129" s="22" t="s">
        <v>14</v>
      </c>
      <c r="D129" s="8">
        <v>1</v>
      </c>
      <c r="E129" s="21">
        <v>5</v>
      </c>
      <c r="F129" s="24">
        <f t="shared" si="15"/>
        <v>5</v>
      </c>
      <c r="G129" s="24"/>
      <c r="I129" s="21"/>
      <c r="J129" s="24"/>
    </row>
    <row r="130" spans="1:10" outlineLevel="1" x14ac:dyDescent="0.25">
      <c r="A130" s="22" t="s">
        <v>132</v>
      </c>
      <c r="B130" s="27" t="s">
        <v>28</v>
      </c>
      <c r="C130" s="22" t="s">
        <v>14</v>
      </c>
      <c r="D130" s="8">
        <v>1</v>
      </c>
      <c r="E130" s="21">
        <v>5</v>
      </c>
      <c r="F130" s="24">
        <f t="shared" si="15"/>
        <v>5</v>
      </c>
      <c r="G130" s="24" t="s">
        <v>91</v>
      </c>
      <c r="I130" s="21">
        <v>11.05</v>
      </c>
      <c r="J130" s="24" t="s">
        <v>134</v>
      </c>
    </row>
    <row r="131" spans="1:10" outlineLevel="1" x14ac:dyDescent="0.25">
      <c r="A131" s="22" t="s">
        <v>133</v>
      </c>
      <c r="B131" s="27" t="s">
        <v>140</v>
      </c>
      <c r="C131" s="22" t="s">
        <v>14</v>
      </c>
      <c r="D131" s="8">
        <v>1</v>
      </c>
      <c r="E131" s="21">
        <v>15</v>
      </c>
      <c r="F131" s="24">
        <f t="shared" si="15"/>
        <v>15</v>
      </c>
      <c r="G131" s="24" t="s">
        <v>134</v>
      </c>
      <c r="I131" s="21"/>
      <c r="J131" s="24"/>
    </row>
    <row r="132" spans="1:10" outlineLevel="1" x14ac:dyDescent="0.25">
      <c r="A132" s="31" t="s">
        <v>93</v>
      </c>
      <c r="B132" s="19" t="s">
        <v>146</v>
      </c>
      <c r="C132" s="4"/>
      <c r="D132" s="4"/>
      <c r="E132" s="6"/>
      <c r="F132" s="6"/>
      <c r="G132" s="6"/>
      <c r="I132" s="6"/>
      <c r="J132" s="6"/>
    </row>
    <row r="133" spans="1:10" outlineLevel="1" x14ac:dyDescent="0.25">
      <c r="A133" s="22" t="s">
        <v>149</v>
      </c>
      <c r="B133" s="27" t="s">
        <v>76</v>
      </c>
      <c r="C133" s="22" t="s">
        <v>8</v>
      </c>
      <c r="D133" s="8">
        <v>1</v>
      </c>
      <c r="E133" s="21">
        <v>30</v>
      </c>
      <c r="F133" s="24">
        <f>D133*E133</f>
        <v>30</v>
      </c>
      <c r="G133" s="24"/>
      <c r="I133" s="21"/>
      <c r="J133" s="24"/>
    </row>
    <row r="134" spans="1:10" outlineLevel="1" x14ac:dyDescent="0.25">
      <c r="A134" s="22" t="s">
        <v>150</v>
      </c>
      <c r="B134" s="27" t="s">
        <v>80</v>
      </c>
      <c r="C134" s="22" t="s">
        <v>8</v>
      </c>
      <c r="D134" s="8">
        <v>1</v>
      </c>
      <c r="E134" s="21">
        <v>40</v>
      </c>
      <c r="F134" s="24">
        <f>D134*E134</f>
        <v>40</v>
      </c>
      <c r="G134" s="24"/>
      <c r="I134" s="21"/>
      <c r="J134" s="24"/>
    </row>
    <row r="135" spans="1:10" outlineLevel="1" x14ac:dyDescent="0.25">
      <c r="A135" s="22" t="s">
        <v>151</v>
      </c>
      <c r="B135" s="27" t="s">
        <v>87</v>
      </c>
      <c r="C135" s="22" t="s">
        <v>14</v>
      </c>
      <c r="D135" s="8">
        <v>1</v>
      </c>
      <c r="E135" s="21">
        <v>15</v>
      </c>
      <c r="F135" s="24">
        <f>D135*E135</f>
        <v>15</v>
      </c>
      <c r="G135" s="24" t="s">
        <v>91</v>
      </c>
      <c r="I135" s="21"/>
      <c r="J135" s="24"/>
    </row>
    <row r="136" spans="1:10" ht="30" outlineLevel="1" x14ac:dyDescent="0.25">
      <c r="A136" s="22" t="s">
        <v>152</v>
      </c>
      <c r="B136" s="27" t="s">
        <v>139</v>
      </c>
      <c r="C136" s="22" t="s">
        <v>8</v>
      </c>
      <c r="D136" s="8">
        <v>1</v>
      </c>
      <c r="E136" s="21">
        <v>150</v>
      </c>
      <c r="F136" s="24">
        <f>D136*E136</f>
        <v>150</v>
      </c>
      <c r="G136" s="24" t="s">
        <v>134</v>
      </c>
      <c r="I136" s="21"/>
      <c r="J136" s="24"/>
    </row>
    <row r="137" spans="1:10" ht="30" outlineLevel="1" x14ac:dyDescent="0.25">
      <c r="A137" s="22" t="s">
        <v>205</v>
      </c>
      <c r="B137" s="27" t="s">
        <v>204</v>
      </c>
      <c r="C137" s="22" t="s">
        <v>8</v>
      </c>
      <c r="D137" s="8">
        <v>34</v>
      </c>
      <c r="E137" s="21">
        <v>25</v>
      </c>
      <c r="F137" s="24"/>
      <c r="G137" s="24" t="s">
        <v>182</v>
      </c>
      <c r="I137" s="21"/>
      <c r="J137" s="24"/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Lucrari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Marius Dumitrescu</cp:lastModifiedBy>
  <dcterms:created xsi:type="dcterms:W3CDTF">2026-05-06T09:03:09Z</dcterms:created>
  <dcterms:modified xsi:type="dcterms:W3CDTF">2026-05-15T11:06:07Z</dcterms:modified>
</cp:coreProperties>
</file>